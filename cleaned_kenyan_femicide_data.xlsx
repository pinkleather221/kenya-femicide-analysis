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timelines/timeline1.xml" ContentType="application/vnd.ms-excel.timelin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13_ncr:1_{5BE07C4B-DE9B-4230-BCA1-E28623C95318}" xr6:coauthVersionLast="47" xr6:coauthVersionMax="47" xr10:uidLastSave="{00000000-0000-0000-0000-000000000000}"/>
  <bookViews>
    <workbookView xWindow="-108" yWindow="-108" windowWidth="23256" windowHeight="12456" xr2:uid="{B46108F7-B0FF-41C7-8B65-DFB743018FA6}"/>
  </bookViews>
  <sheets>
    <sheet name="Dashboard" sheetId="14" r:id="rId1"/>
    <sheet name="Original data" sheetId="2" r:id="rId2"/>
    <sheet name="victims by age &amp; type of femici" sheetId="3" r:id="rId3"/>
    <sheet name="number of victims by scene" sheetId="4" r:id="rId4"/>
    <sheet name="victims by circumstances" sheetId="5" r:id="rId5"/>
    <sheet name="victims by type_relationship" sheetId="6" r:id="rId6"/>
    <sheet name="femicide victims by region" sheetId="9" r:id="rId7"/>
    <sheet name="verdict" sheetId="10" r:id="rId8"/>
    <sheet name="total number of cases by publis" sheetId="13" r:id="rId9"/>
    <sheet name="victims by mode of killing " sheetId="11" r:id="rId10"/>
    <sheet name="Mapping" sheetId="8" r:id="rId11"/>
  </sheets>
  <definedNames>
    <definedName name="ExternalData_1" localSheetId="1" hidden="1">'Original data'!$A$1:$U$508</definedName>
    <definedName name="NativeTimeline_published_date">#N/A</definedName>
    <definedName name="Slicer_county">#N/A</definedName>
    <definedName name="Slicer_murder_scene">#N/A</definedName>
    <definedName name="Slicer_Region">#N/A</definedName>
    <definedName name="Slicer_status_on_article_date">#N/A</definedName>
    <definedName name="Slicer_suspect_relationship">#N/A</definedName>
    <definedName name="Slicer_type_of_femicide">#N/A</definedName>
  </definedNames>
  <calcPr calcId="191029"/>
  <pivotCaches>
    <pivotCache cacheId="2"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509" i="2" l="1"/>
  <c r="A509" i="2"/>
  <c r="S509" i="2"/>
  <c r="V334"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F1FA30-8E81-435C-AA28-E32118001343}" keepAlive="1" name="Query - new_data" description="Connection to the 'new_data' query in the workbook." type="5" refreshedVersion="8" background="1" saveData="1">
    <dbPr connection="Provider=Microsoft.Mashup.OleDb.1;Data Source=$Workbook$;Location=new_data;Extended Properties=&quot;&quot;" command="SELECT * FROM [new_data]"/>
  </connection>
</connections>
</file>

<file path=xl/sharedStrings.xml><?xml version="1.0" encoding="utf-8"?>
<sst xmlns="http://schemas.openxmlformats.org/spreadsheetml/2006/main" count="7337" uniqueCount="1624">
  <si>
    <t>Author Name</t>
  </si>
  <si>
    <t>medium</t>
  </si>
  <si>
    <t>published_date</t>
  </si>
  <si>
    <t>type_of_murder</t>
  </si>
  <si>
    <t>name_of_victim</t>
  </si>
  <si>
    <t>age</t>
  </si>
  <si>
    <t>date_of_murder</t>
  </si>
  <si>
    <t>name_of_suspect</t>
  </si>
  <si>
    <t>type_of_femicide</t>
  </si>
  <si>
    <t>murder_scene</t>
  </si>
  <si>
    <t>mode_of_killing</t>
  </si>
  <si>
    <t>circumstance</t>
  </si>
  <si>
    <t>status_on_article_date</t>
  </si>
  <si>
    <t>court_date_(first_appearance)</t>
  </si>
  <si>
    <t>verdict_date</t>
  </si>
  <si>
    <t>verdict</t>
  </si>
  <si>
    <t>years_of_sentence</t>
  </si>
  <si>
    <t>days_to_verdict</t>
  </si>
  <si>
    <t>area</t>
  </si>
  <si>
    <t>county</t>
  </si>
  <si>
    <t>Carolyne Kubwa</t>
  </si>
  <si>
    <t xml:space="preserve">The Star </t>
  </si>
  <si>
    <t>Femicide</t>
  </si>
  <si>
    <t>Damaris kibe</t>
  </si>
  <si>
    <t>Isaac Kirui</t>
  </si>
  <si>
    <t>Intimate</t>
  </si>
  <si>
    <t>home</t>
  </si>
  <si>
    <t>other</t>
  </si>
  <si>
    <t>Not Provided</t>
  </si>
  <si>
    <t>guilty</t>
  </si>
  <si>
    <t>Citizen Reporter</t>
  </si>
  <si>
    <t>Citizen Digital</t>
  </si>
  <si>
    <t>Joseph Kiplimo</t>
  </si>
  <si>
    <t>hacked</t>
  </si>
  <si>
    <t>Argument</t>
  </si>
  <si>
    <t>under investigation</t>
  </si>
  <si>
    <t>Anne Atieno</t>
  </si>
  <si>
    <t>Joyce Aluoch</t>
  </si>
  <si>
    <t>Charles Odhiambo</t>
  </si>
  <si>
    <t>Husband</t>
  </si>
  <si>
    <t>blunt force</t>
  </si>
  <si>
    <t>Guilty</t>
  </si>
  <si>
    <t xml:space="preserve"> Annette Wambulwa</t>
  </si>
  <si>
    <t>Rose Wekesa</t>
  </si>
  <si>
    <t>Storum Miheso</t>
  </si>
  <si>
    <t>intimate</t>
  </si>
  <si>
    <t xml:space="preserve">Not Provided </t>
  </si>
  <si>
    <t>Standard Media</t>
  </si>
  <si>
    <t>Naomi Tuitoek</t>
  </si>
  <si>
    <t>Baringo County</t>
  </si>
  <si>
    <t>Baringo</t>
  </si>
  <si>
    <t>Carole Maina</t>
  </si>
  <si>
    <t>Diana Chemutai (Chelele)</t>
  </si>
  <si>
    <t>Eric Musila</t>
  </si>
  <si>
    <t>Not Guilty</t>
  </si>
  <si>
    <t>Kapkwen</t>
  </si>
  <si>
    <t>Bomet</t>
  </si>
  <si>
    <t>Gilbert Kimutai</t>
  </si>
  <si>
    <t xml:space="preserve">Standard Digital </t>
  </si>
  <si>
    <t>stabbed</t>
  </si>
  <si>
    <t>jealousy</t>
  </si>
  <si>
    <t>Chemaner location</t>
  </si>
  <si>
    <t>Vitalis Kimutai</t>
  </si>
  <si>
    <t xml:space="preserve">Daily Nation </t>
  </si>
  <si>
    <t>Caroline Kirui</t>
  </si>
  <si>
    <t>Gilbert Kipngetich Kirui</t>
  </si>
  <si>
    <t>Konoin</t>
  </si>
  <si>
    <t xml:space="preserve"> Stella Cherono</t>
  </si>
  <si>
    <t>Emmy Chepkoech Mitey</t>
  </si>
  <si>
    <t xml:space="preserve">Robert Tonui </t>
  </si>
  <si>
    <t>Boyfriend</t>
  </si>
  <si>
    <t>Home</t>
  </si>
  <si>
    <t>burned</t>
  </si>
  <si>
    <t>divorce/separation</t>
  </si>
  <si>
    <t>Seanin</t>
  </si>
  <si>
    <t>Paul Ruto</t>
  </si>
  <si>
    <t>Nickson Sang</t>
  </si>
  <si>
    <t>Kipreres</t>
  </si>
  <si>
    <t>Faith Chepkoech</t>
  </si>
  <si>
    <t>Gilbert Langat</t>
  </si>
  <si>
    <t>Mauche estate within Bomet Township</t>
  </si>
  <si>
    <t>Kna</t>
  </si>
  <si>
    <t>Stranger</t>
  </si>
  <si>
    <t>Non-intimate</t>
  </si>
  <si>
    <t>Public Space</t>
  </si>
  <si>
    <t>Strangled</t>
  </si>
  <si>
    <t>Tembwo trading centre</t>
  </si>
  <si>
    <t>Niphael Kiprotich Ngetich</t>
  </si>
  <si>
    <t>INtimate</t>
  </si>
  <si>
    <t>Domestic wrangle</t>
  </si>
  <si>
    <t>Korara area</t>
  </si>
  <si>
    <t>Brian Ojamaa</t>
  </si>
  <si>
    <t>Abigail Wafula</t>
  </si>
  <si>
    <t>Kizito Wafula</t>
  </si>
  <si>
    <t>Family Member</t>
  </si>
  <si>
    <t>Others</t>
  </si>
  <si>
    <t>Misemwa village</t>
  </si>
  <si>
    <t>Bungoma</t>
  </si>
  <si>
    <t>Feophe Ekas</t>
  </si>
  <si>
    <t>Alln Osiome</t>
  </si>
  <si>
    <t>Sirisia constituency</t>
  </si>
  <si>
    <t>Sara Nyanyama</t>
  </si>
  <si>
    <t>Ben Wafula</t>
  </si>
  <si>
    <t>Raphael Wanjala</t>
  </si>
  <si>
    <t>Mildred Wanyonyi</t>
  </si>
  <si>
    <t>Simon Wamalwa</t>
  </si>
  <si>
    <t>school</t>
  </si>
  <si>
    <t>Sang'alo Institute of Science and Technology</t>
  </si>
  <si>
    <t>Jared Nyongesa</t>
  </si>
  <si>
    <t>Kanduyi vilage</t>
  </si>
  <si>
    <t>Blunt force</t>
  </si>
  <si>
    <t>Kanduyi</t>
  </si>
  <si>
    <t>Irene Sifuna</t>
  </si>
  <si>
    <t>Sarah Chebet</t>
  </si>
  <si>
    <t>Cheptais sub-county</t>
  </si>
  <si>
    <t>Citizen TV</t>
  </si>
  <si>
    <t>Helen Namalwa</t>
  </si>
  <si>
    <t>Bungoma County</t>
  </si>
  <si>
    <t>Tony Wafula</t>
  </si>
  <si>
    <t>Margaret Kamanga</t>
  </si>
  <si>
    <t>Gerald Kamanga</t>
  </si>
  <si>
    <t>Wamunyiri village</t>
  </si>
  <si>
    <t>Eunice Ojuro</t>
  </si>
  <si>
    <t>Julius Nyekenye Serikali</t>
  </si>
  <si>
    <t>Esikulu village</t>
  </si>
  <si>
    <t>Busia</t>
  </si>
  <si>
    <t>Annette Wambulwa</t>
  </si>
  <si>
    <t>Eunice Akisa</t>
  </si>
  <si>
    <t>Antony Paste Obwalo</t>
  </si>
  <si>
    <t>Okwata village</t>
  </si>
  <si>
    <t>Robert Amalemba</t>
  </si>
  <si>
    <t>Caroline Nabwire</t>
  </si>
  <si>
    <t>John Wandera</t>
  </si>
  <si>
    <t>Nasemwa village</t>
  </si>
  <si>
    <t xml:space="preserve">Nathan Ochunge </t>
  </si>
  <si>
    <t>Standard digital</t>
  </si>
  <si>
    <t>Zipporah Nkirote</t>
  </si>
  <si>
    <t>Matayos Sub-County</t>
  </si>
  <si>
    <t>Callistus Muga</t>
  </si>
  <si>
    <t>shot</t>
  </si>
  <si>
    <t>both are dead</t>
  </si>
  <si>
    <t>Funyula</t>
  </si>
  <si>
    <t xml:space="preserve"> Hilary Kimuyu</t>
  </si>
  <si>
    <t>Nairobi News</t>
  </si>
  <si>
    <t>Mercy Chebet</t>
  </si>
  <si>
    <t>Constable Maxwell Maina</t>
  </si>
  <si>
    <t>Railways Police Lines</t>
  </si>
  <si>
    <t>Stephen Rutto</t>
  </si>
  <si>
    <t>Peris Jemaiyo</t>
  </si>
  <si>
    <t>Richard Ruto</t>
  </si>
  <si>
    <t>Marakwet East</t>
  </si>
  <si>
    <t>Elgeyo Marakwet</t>
  </si>
  <si>
    <t>Fred Kibor</t>
  </si>
  <si>
    <t>Marion Cheruiyot</t>
  </si>
  <si>
    <t>Josphat Cheruiyot</t>
  </si>
  <si>
    <t>Boe Vilage</t>
  </si>
  <si>
    <t>Mireri Junior</t>
  </si>
  <si>
    <t>Tambul village</t>
  </si>
  <si>
    <t>Daily Nation</t>
  </si>
  <si>
    <t>The East African</t>
  </si>
  <si>
    <t>Agnes Tirop</t>
  </si>
  <si>
    <t>Ibrahim Rotich</t>
  </si>
  <si>
    <t>Iten town</t>
  </si>
  <si>
    <t>Damaris Muthee</t>
  </si>
  <si>
    <t>Eskanda Hailemariam</t>
  </si>
  <si>
    <t>strangled</t>
  </si>
  <si>
    <t>Bashir Mbuthia</t>
  </si>
  <si>
    <t>Monica Jepto</t>
  </si>
  <si>
    <t>Khadiri Khamisi</t>
  </si>
  <si>
    <t>Iten</t>
  </si>
  <si>
    <t>Anthony Ndwiga</t>
  </si>
  <si>
    <t>citizen digital</t>
  </si>
  <si>
    <t>non-intimate</t>
  </si>
  <si>
    <t>sexual assault</t>
  </si>
  <si>
    <t>Under Investigation</t>
  </si>
  <si>
    <t>Kigumo Village</t>
  </si>
  <si>
    <t>Embu</t>
  </si>
  <si>
    <t>Reuben Githinji</t>
  </si>
  <si>
    <t>Pauline Kagendo</t>
  </si>
  <si>
    <t>Edwin Mwenda</t>
  </si>
  <si>
    <t>Njarange village</t>
  </si>
  <si>
    <t>Charles Wanyoro</t>
  </si>
  <si>
    <t>Naomi Warunji</t>
  </si>
  <si>
    <t>Organized crime</t>
  </si>
  <si>
    <t>Gitumbi vilage</t>
  </si>
  <si>
    <t>George Munene</t>
  </si>
  <si>
    <t>Friend</t>
  </si>
  <si>
    <t>Njigo village</t>
  </si>
  <si>
    <t>Janet Wambeti Njogu</t>
  </si>
  <si>
    <t>Karurina</t>
  </si>
  <si>
    <t>Teresa Muthoni</t>
  </si>
  <si>
    <t>Mbeere</t>
  </si>
  <si>
    <t>Cyrus Ombati</t>
  </si>
  <si>
    <t>Kiamukuyu area</t>
  </si>
  <si>
    <t>Muriithi Mugo</t>
  </si>
  <si>
    <t>Rosemary Nyaga</t>
  </si>
  <si>
    <t>Dennis Munene</t>
  </si>
  <si>
    <t>Kavaruka village</t>
  </si>
  <si>
    <t>Nancy Muthoni</t>
  </si>
  <si>
    <t>Luka Njue</t>
  </si>
  <si>
    <t>Thau village</t>
  </si>
  <si>
    <t xml:space="preserve"> Josephine Karimi</t>
  </si>
  <si>
    <t>Boniface Yakulula</t>
  </si>
  <si>
    <t>Kiaragana</t>
  </si>
  <si>
    <t>Nasimiyu</t>
  </si>
  <si>
    <t>Martin Wekesa</t>
  </si>
  <si>
    <t>Garissa town</t>
  </si>
  <si>
    <t>Garissa</t>
  </si>
  <si>
    <t>Robert Omollo</t>
  </si>
  <si>
    <t>Eunice Atieno Olal</t>
  </si>
  <si>
    <t>Albert Odhiambo Odongo</t>
  </si>
  <si>
    <t>Kotieno village</t>
  </si>
  <si>
    <t>Homa Bay</t>
  </si>
  <si>
    <t>Ruth Mbula</t>
  </si>
  <si>
    <t>Sharon Otieno</t>
  </si>
  <si>
    <t>Okoth bado</t>
  </si>
  <si>
    <t>divorce</t>
  </si>
  <si>
    <t>Rachuonyo</t>
  </si>
  <si>
    <t>Nation Reporter</t>
  </si>
  <si>
    <t>Phoebe Kamire</t>
  </si>
  <si>
    <t>Ben Mancha</t>
  </si>
  <si>
    <t>Shauriyako house</t>
  </si>
  <si>
    <t>George Odiwuor</t>
  </si>
  <si>
    <t>Beryl Atieno</t>
  </si>
  <si>
    <t>Paul Ochieng</t>
  </si>
  <si>
    <t>breakup</t>
  </si>
  <si>
    <t>Kobita</t>
  </si>
  <si>
    <t>Susan Adhiambo Otieno</t>
  </si>
  <si>
    <t>Joshua Obembi</t>
  </si>
  <si>
    <t>Ogongo Tir village</t>
  </si>
  <si>
    <t>James Omoro</t>
  </si>
  <si>
    <t>Eunice Aoko</t>
  </si>
  <si>
    <t>Lwala Sub Location</t>
  </si>
  <si>
    <t>Mary Kwamboka</t>
  </si>
  <si>
    <t>Rodi Kopany</t>
  </si>
  <si>
    <t>Milca Mwangi</t>
  </si>
  <si>
    <t>Bernard Ouma</t>
  </si>
  <si>
    <t>Got Rateng</t>
  </si>
  <si>
    <t>The Standard (kenya)</t>
  </si>
  <si>
    <t xml:space="preserve">Michel Awuor </t>
  </si>
  <si>
    <t>Kodwar B village</t>
  </si>
  <si>
    <t>Linda Olero</t>
  </si>
  <si>
    <t>Geoffrey Plero</t>
  </si>
  <si>
    <t>Koluoch village</t>
  </si>
  <si>
    <t>Maureen Akinyi</t>
  </si>
  <si>
    <t>Kanyadhere village</t>
  </si>
  <si>
    <t>Mary Achieng</t>
  </si>
  <si>
    <t>Waiga B village</t>
  </si>
  <si>
    <t>Emily Chepkemboiâ€™</t>
  </si>
  <si>
    <t>Homabay County</t>
  </si>
  <si>
    <t>Gitonga Marete</t>
  </si>
  <si>
    <t>Winfred Opha</t>
  </si>
  <si>
    <t>found her in the company of another man, a fight broke out</t>
  </si>
  <si>
    <t>15 years</t>
  </si>
  <si>
    <t>Kanyakine</t>
  </si>
  <si>
    <t>Ali Abdi</t>
  </si>
  <si>
    <t>Standard Digital</t>
  </si>
  <si>
    <t>Timothy Mbogo</t>
  </si>
  <si>
    <t>Stabbed</t>
  </si>
  <si>
    <t>Odha estate</t>
  </si>
  <si>
    <t>Isiolo</t>
  </si>
  <si>
    <t>Vivian Jebet</t>
  </si>
  <si>
    <t>Isiolo town</t>
  </si>
  <si>
    <t>Waweru Wairimu</t>
  </si>
  <si>
    <t>David Karingori</t>
  </si>
  <si>
    <t>Kangutu</t>
  </si>
  <si>
    <t>By 
 Waweru Wairimu</t>
  </si>
  <si>
    <t>The Nation</t>
  </si>
  <si>
    <t>Celestine Nduku kioko</t>
  </si>
  <si>
    <t>Erick Mutwiri Mwenda</t>
  </si>
  <si>
    <t>Kambi ya juu</t>
  </si>
  <si>
    <t>Kurgat Marindany</t>
  </si>
  <si>
    <t>Salome Kanini</t>
  </si>
  <si>
    <t>Stanely Nduati</t>
  </si>
  <si>
    <t>Ongoing Court Proceedings</t>
  </si>
  <si>
    <t>Ongata Rongai</t>
  </si>
  <si>
    <t>Kajiado</t>
  </si>
  <si>
    <t>Priscilla Wangeci</t>
  </si>
  <si>
    <t>Kinyuru Munuhe</t>
  </si>
  <si>
    <t>MediaMax Network</t>
  </si>
  <si>
    <t>Florence Okwach</t>
  </si>
  <si>
    <t>Richard Muchesia</t>
  </si>
  <si>
    <t>Peterson Githaiga</t>
  </si>
  <si>
    <t>Kitengela</t>
  </si>
  <si>
    <t>Mary Wnjiku</t>
  </si>
  <si>
    <t>David Kariuki</t>
  </si>
  <si>
    <t>Ngong</t>
  </si>
  <si>
    <t>Caroline Wanjiku</t>
  </si>
  <si>
    <t>By 
 Vincent Achuka
 And 
 Brian Wasuna</t>
  </si>
  <si>
    <t>Jennifer Wambua</t>
  </si>
  <si>
    <t>Peter Njenga</t>
  </si>
  <si>
    <t>Kerarapon Ngong</t>
  </si>
  <si>
    <t xml:space="preserve">Peterson Githaiga And Fred Kagonye </t>
  </si>
  <si>
    <t>Cynthia Chesang Chepkuto.</t>
  </si>
  <si>
    <t>Renald Kamerima Allan</t>
  </si>
  <si>
    <t>Dumpsite</t>
  </si>
  <si>
    <t>Ann Njeri</t>
  </si>
  <si>
    <t>George Njunge</t>
  </si>
  <si>
    <t>Faith Njambi</t>
  </si>
  <si>
    <t>Samuel Mbugua</t>
  </si>
  <si>
    <t>Rongai</t>
  </si>
  <si>
    <t>Stanley Ngotho</t>
  </si>
  <si>
    <t>Other</t>
  </si>
  <si>
    <t>Maili Tisa village in Loitokitok</t>
  </si>
  <si>
    <t xml:space="preserve">Gertrude Wayua Mutiso
</t>
  </si>
  <si>
    <t>Patrick Kioko</t>
  </si>
  <si>
    <t>Woman dumped him</t>
  </si>
  <si>
    <t>robbery with violence</t>
  </si>
  <si>
    <t>Kiwanjani area</t>
  </si>
  <si>
    <t>Jack Murima</t>
  </si>
  <si>
    <t>Selina Ikambi Anasi</t>
  </si>
  <si>
    <t>Wilson Masiko Mungasia</t>
  </si>
  <si>
    <t>Mituri village</t>
  </si>
  <si>
    <t>Kakamega</t>
  </si>
  <si>
    <t>John Shilitsa</t>
  </si>
  <si>
    <t>Margret Khayere</t>
  </si>
  <si>
    <t>Mwamba Village</t>
  </si>
  <si>
    <t>Jackline Inyanji</t>
  </si>
  <si>
    <t>Mukhonje village</t>
  </si>
  <si>
    <t>Shaban Makokha</t>
  </si>
  <si>
    <t>Shieywe Ward</t>
  </si>
  <si>
    <t>Nathan Ochunge</t>
  </si>
  <si>
    <t>Mollyne Lubanga</t>
  </si>
  <si>
    <t>Lunyelelia village</t>
  </si>
  <si>
    <t>Susan Mirimo Musa</t>
  </si>
  <si>
    <t>Kakamega County</t>
  </si>
  <si>
    <t>KBC</t>
  </si>
  <si>
    <t>Daphine Maloba</t>
  </si>
  <si>
    <t>Carolyne Anota Mukutu</t>
  </si>
  <si>
    <t>Benson Amadala</t>
  </si>
  <si>
    <t>Christine Maonga</t>
  </si>
  <si>
    <t>Patrick Nyapara</t>
  </si>
  <si>
    <t>Navakholo</t>
  </si>
  <si>
    <t>Petrolina Mungayi</t>
  </si>
  <si>
    <t>Ejinja Matungu</t>
  </si>
  <si>
    <t>Metrine Naimiyu</t>
  </si>
  <si>
    <t>Noah Inyangala</t>
  </si>
  <si>
    <t>Mawe tatu</t>
  </si>
  <si>
    <t xml:space="preserve"> Abel Amala</t>
  </si>
  <si>
    <t>K24 Digital</t>
  </si>
  <si>
    <t>Florence Nakonjio</t>
  </si>
  <si>
    <t>Joseph Boyi Shiro</t>
  </si>
  <si>
    <t>Denying him conjugal rights</t>
  </si>
  <si>
    <t>Emukaya Village in Lurambi</t>
  </si>
  <si>
    <t xml:space="preserve">
Mumo Munuve</t>
  </si>
  <si>
    <t>Virginia Khavakali</t>
  </si>
  <si>
    <t>Wycliffe Khamasi,</t>
  </si>
  <si>
    <t>Madala Village in Shinyalu</t>
  </si>
  <si>
    <t>Winfrey Owino</t>
  </si>
  <si>
    <t>Kakamega town</t>
  </si>
  <si>
    <t>Benard Lusigi</t>
  </si>
  <si>
    <t>Lydia Khachiti</t>
  </si>
  <si>
    <t>Shirere village</t>
  </si>
  <si>
    <t>Martin Bulimu</t>
  </si>
  <si>
    <t>Rose Atieno</t>
  </si>
  <si>
    <t>Accused of infidelity</t>
  </si>
  <si>
    <t>Bernard Lusigi</t>
  </si>
  <si>
    <t>Consolata Masitsa</t>
  </si>
  <si>
    <t>Solomon Isaiah</t>
  </si>
  <si>
    <t>man claimed that his wife was having extramarital affairs</t>
  </si>
  <si>
    <t>Murder-suicide</t>
  </si>
  <si>
    <t>Lukume area</t>
  </si>
  <si>
    <t>Brian Salil</t>
  </si>
  <si>
    <t xml:space="preserve">Rose Cherono </t>
  </si>
  <si>
    <t>Zackaria Ngâ€™asura</t>
  </si>
  <si>
    <t>Kiprambu in Chepkumia</t>
  </si>
  <si>
    <t>Nikko Tanui</t>
  </si>
  <si>
    <t>Faith Chepngeno Kirui</t>
  </si>
  <si>
    <t>Wiberforce Kirui</t>
  </si>
  <si>
    <t>Kabitungu village</t>
  </si>
  <si>
    <t>Kericho</t>
  </si>
  <si>
    <t>Nikko Tonui</t>
  </si>
  <si>
    <t>Kobia Maina</t>
  </si>
  <si>
    <t>Jealousy</t>
  </si>
  <si>
    <t>Kedowa</t>
  </si>
  <si>
    <t>Gideon Cheruiyot</t>
  </si>
  <si>
    <t>Soin village</t>
  </si>
  <si>
    <t>People Daily</t>
  </si>
  <si>
    <t>Anna Chepkwony</t>
  </si>
  <si>
    <t>unkown</t>
  </si>
  <si>
    <t>Litein</t>
  </si>
  <si>
    <t>Tuko News</t>
  </si>
  <si>
    <t>Rachel Rotich</t>
  </si>
  <si>
    <t>Kericho County</t>
  </si>
  <si>
    <t>Lynn Kolongei</t>
  </si>
  <si>
    <t>Caroline Koech</t>
  </si>
  <si>
    <t>Paul Kipkemboi</t>
  </si>
  <si>
    <t>Kipkelion</t>
  </si>
  <si>
    <t>Mercy Wairimu</t>
  </si>
  <si>
    <t>Irene Chelagat</t>
  </si>
  <si>
    <t>Tony Kiptoo</t>
  </si>
  <si>
    <t>Keben Secondary School</t>
  </si>
  <si>
    <t>Burgei village in Kipkelion East Constituency</t>
  </si>
  <si>
    <t>Shauline Akot</t>
  </si>
  <si>
    <t>Bernard Bilayi</t>
  </si>
  <si>
    <t>Workplace</t>
  </si>
  <si>
    <t>murder-suicide</t>
  </si>
  <si>
    <t>Sosiot trading centre in Belgut</t>
  </si>
  <si>
    <t>Sosiot</t>
  </si>
  <si>
    <t>Ainamoi</t>
  </si>
  <si>
    <t>Vivian Atieno</t>
  </si>
  <si>
    <t>Cornel Ochieng</t>
  </si>
  <si>
    <t xml:space="preserve">altercation </t>
  </si>
  <si>
    <t>James Finlays Tea Company workshop estate</t>
  </si>
  <si>
    <t>Alphonce Mung</t>
  </si>
  <si>
    <t>Felista Awino</t>
  </si>
  <si>
    <t>Nixon Chepkwony</t>
  </si>
  <si>
    <t>GSU headquaters</t>
  </si>
  <si>
    <t>Kiambu</t>
  </si>
  <si>
    <t xml:space="preserve">Kamau Muthoni </t>
  </si>
  <si>
    <t>Faith Vicky Owuor</t>
  </si>
  <si>
    <t>Marcel Jumanne Dalance</t>
  </si>
  <si>
    <t>Alpha House</t>
  </si>
  <si>
    <t xml:space="preserve"> Kiundu Waweru</t>
  </si>
  <si>
    <t>Rose Njoki</t>
  </si>
  <si>
    <t xml:space="preserve">Geoffrey Mathenge </t>
  </si>
  <si>
    <t>Muthure</t>
  </si>
  <si>
    <t>Edda Kanana</t>
  </si>
  <si>
    <t>Joseph Ateya</t>
  </si>
  <si>
    <t>Githurai</t>
  </si>
  <si>
    <t>Paul Baraza</t>
  </si>
  <si>
    <t>Irene Kananu</t>
  </si>
  <si>
    <t>Muhammed Wairimu</t>
  </si>
  <si>
    <t>Kahawa Wendani</t>
  </si>
  <si>
    <t>Lucas Ngasike</t>
  </si>
  <si>
    <t>Yvonne Njeri</t>
  </si>
  <si>
    <t>Uthiru</t>
  </si>
  <si>
    <t>Kamau Maichuhie</t>
  </si>
  <si>
    <t>Muchatha village</t>
  </si>
  <si>
    <t>Ann Ngige Nyamu</t>
  </si>
  <si>
    <t>Rosemary Kanina</t>
  </si>
  <si>
    <t>Patrick Nderitu Karuiru</t>
  </si>
  <si>
    <t>Both are dead</t>
  </si>
  <si>
    <t>Juja</t>
  </si>
  <si>
    <t>James Kahongeh</t>
  </si>
  <si>
    <t>Lucy Njambi</t>
  </si>
  <si>
    <t>Samwel Ndung'u</t>
  </si>
  <si>
    <t>Thingigwa Appartment</t>
  </si>
  <si>
    <t>Mary Wambui</t>
  </si>
  <si>
    <t>Grace Wamnjiru</t>
  </si>
  <si>
    <t>Timothy Ndirangu (deceased)</t>
  </si>
  <si>
    <t>Maguguni</t>
  </si>
  <si>
    <t>George Mugo</t>
  </si>
  <si>
    <t>Rachel Wanjiku</t>
  </si>
  <si>
    <t>Philip Njenga</t>
  </si>
  <si>
    <t>Kongothiria village</t>
  </si>
  <si>
    <t>Stanley Njenga</t>
  </si>
  <si>
    <t>Mary Wambui Kamangara</t>
  </si>
  <si>
    <t>Judy Mungai</t>
  </si>
  <si>
    <t>Four Ways estate</t>
  </si>
  <si>
    <t>Peninah Njoki</t>
  </si>
  <si>
    <t>Riyani village</t>
  </si>
  <si>
    <t>Daily Active</t>
  </si>
  <si>
    <t>Jane Nduta</t>
  </si>
  <si>
    <t>Kiambu County</t>
  </si>
  <si>
    <t>Hilary Kimuyu</t>
  </si>
  <si>
    <t>Albert Mwangi</t>
  </si>
  <si>
    <t>Kiambumini Estate</t>
  </si>
  <si>
    <t>Felister Wariara</t>
  </si>
  <si>
    <t>Rusigetti village</t>
  </si>
  <si>
    <t>Tracy Mutinda</t>
  </si>
  <si>
    <t>Levy Abubakara</t>
  </si>
  <si>
    <t>Membley area</t>
  </si>
  <si>
    <t>John Kamau</t>
  </si>
  <si>
    <t>Wataalam Ruiru</t>
  </si>
  <si>
    <t>Kamahindu village</t>
  </si>
  <si>
    <t>Priscilla</t>
  </si>
  <si>
    <t>Hillary Kipkirui</t>
  </si>
  <si>
    <t>Majengo estate Thika</t>
  </si>
  <si>
    <t>Pauline Wakasa</t>
  </si>
  <si>
    <t>Officer Hudson Wakise</t>
  </si>
  <si>
    <t>GSU camp Ruaka</t>
  </si>
  <si>
    <t>Akello Odenyo Akello Odenyo</t>
  </si>
  <si>
    <t>Catherine Nyokabi</t>
  </si>
  <si>
    <t>Evans Karani</t>
  </si>
  <si>
    <t>Kimbo Githurai</t>
  </si>
  <si>
    <t>Margaret Ngina</t>
  </si>
  <si>
    <t>Karambani village</t>
  </si>
  <si>
    <t>Mathew Ndungu</t>
  </si>
  <si>
    <t>Celestine Muthengei</t>
  </si>
  <si>
    <t>School</t>
  </si>
  <si>
    <t>Mt. Kenya University Thika</t>
  </si>
  <si>
    <t>Fidelis Kabunyi</t>
  </si>
  <si>
    <t>Philomena Njeri</t>
  </si>
  <si>
    <t>Jonathan Mukundi Gachunga</t>
  </si>
  <si>
    <t>Kirigiti</t>
  </si>
  <si>
    <t>Esther Nyaga</t>
  </si>
  <si>
    <t>Evans Kamau</t>
  </si>
  <si>
    <t>Elmark estate</t>
  </si>
  <si>
    <t>Everlyn Wanjiru</t>
  </si>
  <si>
    <t>Brian Wawere</t>
  </si>
  <si>
    <t>Esther Wambui</t>
  </si>
  <si>
    <t>Kimbo</t>
  </si>
  <si>
    <t xml:space="preserve"> Cyrus Ombati</t>
  </si>
  <si>
    <t>Purity Wangechi</t>
  </si>
  <si>
    <t>John Wanyoike Kibungi,</t>
  </si>
  <si>
    <t>Mburiria estate</t>
  </si>
  <si>
    <t>Kimende town</t>
  </si>
  <si>
    <t xml:space="preserve"> George Njunge</t>
  </si>
  <si>
    <t xml:space="preserve">Alice Njeri </t>
  </si>
  <si>
    <t>Benson Wanjohi</t>
  </si>
  <si>
    <t>Lari</t>
  </si>
  <si>
    <t xml:space="preserve"> Simon Ciuri And Mwangi Muiruri</t>
  </si>
  <si>
    <t>Risper Ndunge</t>
  </si>
  <si>
    <t>Morris Njuguna</t>
  </si>
  <si>
    <t>Quarrel</t>
  </si>
  <si>
    <t>Mitikenda Estate on the outskirts of Ruiru</t>
  </si>
  <si>
    <t>Rosemary Mugere</t>
  </si>
  <si>
    <t>Unknown assailant</t>
  </si>
  <si>
    <t>Under investigation</t>
  </si>
  <si>
    <t>Riverside</t>
  </si>
  <si>
    <t xml:space="preserve"> Nyaboga Kiage</t>
  </si>
  <si>
    <t>Phylis Ngina Gachohi</t>
  </si>
  <si>
    <t>HK</t>
  </si>
  <si>
    <t>quarrel</t>
  </si>
  <si>
    <t>Ngewa</t>
  </si>
  <si>
    <t xml:space="preserve"> Simon Ciuri</t>
  </si>
  <si>
    <t>Mercy Mugure</t>
  </si>
  <si>
    <t>Simon Kimani</t>
  </si>
  <si>
    <t>Gituamba village</t>
  </si>
  <si>
    <t>Alice Wangechi</t>
  </si>
  <si>
    <t>deceived her by claiming to have found her lost phone</t>
  </si>
  <si>
    <t>Gatundu North</t>
  </si>
  <si>
    <t>Elias Yaa Elias Yaa</t>
  </si>
  <si>
    <t>Pendo Karisa</t>
  </si>
  <si>
    <t>Munga Mwangemi</t>
  </si>
  <si>
    <t>Mikanjui village</t>
  </si>
  <si>
    <t>Kilifi</t>
  </si>
  <si>
    <t>Maureen Ongala</t>
  </si>
  <si>
    <t>Risper Chizi</t>
  </si>
  <si>
    <t>Hillary Tsuma</t>
  </si>
  <si>
    <t>denied conjugal rights</t>
  </si>
  <si>
    <t>Mwanzai</t>
  </si>
  <si>
    <t>Munene Kamau</t>
  </si>
  <si>
    <t>Agata Wanjira Njeru</t>
  </si>
  <si>
    <t>Kathunguri village</t>
  </si>
  <si>
    <t>Kirinyaga</t>
  </si>
  <si>
    <t>Rehema Auma</t>
  </si>
  <si>
    <t>Riandira village</t>
  </si>
  <si>
    <t>Damaris Njeri</t>
  </si>
  <si>
    <t>Rukanga village</t>
  </si>
  <si>
    <t>Virginia Wambui</t>
  </si>
  <si>
    <t>Drunk</t>
  </si>
  <si>
    <t>Jedidah Wanjiru</t>
  </si>
  <si>
    <t>Kanyage village</t>
  </si>
  <si>
    <t>Carol Mbote</t>
  </si>
  <si>
    <t>Samuel Kiama</t>
  </si>
  <si>
    <t>Kianyaga town</t>
  </si>
  <si>
    <t>Kiandai village</t>
  </si>
  <si>
    <t>Wangechi Wangondu</t>
  </si>
  <si>
    <t>Beth Karimi</t>
  </si>
  <si>
    <t>Simon Tama</t>
  </si>
  <si>
    <t>Mwea</t>
  </si>
  <si>
    <t>By 
 George Munene</t>
  </si>
  <si>
    <t>Millicent Wangeci Gitari</t>
  </si>
  <si>
    <t>Ngucui village</t>
  </si>
  <si>
    <t>Jael Mboga And Kariuki Timothy</t>
  </si>
  <si>
    <t>Millicent Muthoni</t>
  </si>
  <si>
    <t>Paul Murage</t>
  </si>
  <si>
    <t>Kathata village</t>
  </si>
  <si>
    <t>Timothy Kariuki</t>
  </si>
  <si>
    <t>Charity Wangui</t>
  </si>
  <si>
    <t>James Muchiri</t>
  </si>
  <si>
    <t>Kithima village</t>
  </si>
  <si>
    <t>Wangechi Wang'Ondu</t>
  </si>
  <si>
    <t>Phylis Wanjira Muriuki</t>
  </si>
  <si>
    <t>James Kigoto Mbutu</t>
  </si>
  <si>
    <t>Kibaratani village</t>
  </si>
  <si>
    <t>Joyce Nginya</t>
  </si>
  <si>
    <t>Thiba village in Kirinyaga</t>
  </si>
  <si>
    <t xml:space="preserve"> Lucy Njogu</t>
  </si>
  <si>
    <t xml:space="preserve"> K24 Digital</t>
  </si>
  <si>
    <t>John Kariuki</t>
  </si>
  <si>
    <t>Rwamuthambi river in Kagio town</t>
  </si>
  <si>
    <t>Ann Njoki Irungu</t>
  </si>
  <si>
    <t>Julius Gichobi Mambo</t>
  </si>
  <si>
    <t>quarrel over sale of beans.</t>
  </si>
  <si>
    <t>Gichugu</t>
  </si>
  <si>
    <t>Jane Wanjiru Murenga</t>
  </si>
  <si>
    <t>Kithure village</t>
  </si>
  <si>
    <t>Erick Abuga</t>
  </si>
  <si>
    <t>Cynthia Mayaka</t>
  </si>
  <si>
    <t>Getare</t>
  </si>
  <si>
    <t>Kisii</t>
  </si>
  <si>
    <t>Vennah Kemunto</t>
  </si>
  <si>
    <t>Samson Obwacha (deceased)</t>
  </si>
  <si>
    <t>Kisii University</t>
  </si>
  <si>
    <t>Eric Abuga</t>
  </si>
  <si>
    <t>Christine Nyananga</t>
  </si>
  <si>
    <t>Bernard Kiiru (deceased)</t>
  </si>
  <si>
    <t>Botori village</t>
  </si>
  <si>
    <t>Hyline Charo</t>
  </si>
  <si>
    <t>Diana Ondieki</t>
  </si>
  <si>
    <t>Omundi Nyabuto</t>
  </si>
  <si>
    <t>public space</t>
  </si>
  <si>
    <t>Bomwanch village</t>
  </si>
  <si>
    <t>Elvinah Moracha</t>
  </si>
  <si>
    <t>Mariba village</t>
  </si>
  <si>
    <t>Maureen Monchari</t>
  </si>
  <si>
    <t>Innocent Sokoro</t>
  </si>
  <si>
    <t>Kenyanya</t>
  </si>
  <si>
    <t>Shyleen Mokeira</t>
  </si>
  <si>
    <t>Kisii County</t>
  </si>
  <si>
    <t>Daily Nation Youtube</t>
  </si>
  <si>
    <t>Dorika Ntabuto</t>
  </si>
  <si>
    <t>Edwin Nyarangi</t>
  </si>
  <si>
    <t>Jessica Moraa</t>
  </si>
  <si>
    <t>George Morara</t>
  </si>
  <si>
    <t>Nyamariba</t>
  </si>
  <si>
    <t>By 
 Benson Ayienda</t>
  </si>
  <si>
    <t>Esther Nyambusi</t>
  </si>
  <si>
    <t>Joel Mogaka</t>
  </si>
  <si>
    <t>Bomachoge chache</t>
  </si>
  <si>
    <t>Irine Nyakwara</t>
  </si>
  <si>
    <t xml:space="preserve">Joel Mogaka </t>
  </si>
  <si>
    <t>Magati Obebo</t>
  </si>
  <si>
    <t>Alice Kamunde</t>
  </si>
  <si>
    <t>Christopher Gisiora</t>
  </si>
  <si>
    <t>Gasieka village</t>
  </si>
  <si>
    <t>domestic quarrel over shopping money</t>
  </si>
  <si>
    <t>Kenyerere village</t>
  </si>
  <si>
    <t>Lucy Boke</t>
  </si>
  <si>
    <t xml:space="preserve">
Stephen Wambura Orengo
</t>
  </si>
  <si>
    <t>angered he could not marry her because they were relatives</t>
  </si>
  <si>
    <t>Faith Matete</t>
  </si>
  <si>
    <t>Caroline Omollo</t>
  </si>
  <si>
    <t>Duncan Omondi</t>
  </si>
  <si>
    <t>Nyalenda Kalejo</t>
  </si>
  <si>
    <t>Kisumu</t>
  </si>
  <si>
    <t>Salina</t>
  </si>
  <si>
    <t>Jacob Odhiambo</t>
  </si>
  <si>
    <t>Waambo village</t>
  </si>
  <si>
    <t>Kajulu</t>
  </si>
  <si>
    <t>John Oywa</t>
  </si>
  <si>
    <t>Veronica Achieng'</t>
  </si>
  <si>
    <t>Kisumu town</t>
  </si>
  <si>
    <t>Olivia Odhiambo</t>
  </si>
  <si>
    <t>Cheryl Akinyi</t>
  </si>
  <si>
    <t>Kevin Omollo</t>
  </si>
  <si>
    <t>Adhiambo</t>
  </si>
  <si>
    <t>Shem Nyakinda</t>
  </si>
  <si>
    <t>Ziwani village</t>
  </si>
  <si>
    <t>SDE</t>
  </si>
  <si>
    <t>Achieng</t>
  </si>
  <si>
    <t>Kisumu County</t>
  </si>
  <si>
    <t>Angeline Ochieng</t>
  </si>
  <si>
    <t>Mercy Akinyi</t>
  </si>
  <si>
    <t>stanley Eugene</t>
  </si>
  <si>
    <t>Dunga</t>
  </si>
  <si>
    <t>Kevine Omollo</t>
  </si>
  <si>
    <t>Non-Intimate</t>
  </si>
  <si>
    <t>Keti village in Nyangâ€™oma</t>
  </si>
  <si>
    <t>Harold Odhiambo</t>
  </si>
  <si>
    <t>Merciline Awino</t>
  </si>
  <si>
    <t>Michelle</t>
  </si>
  <si>
    <t>Kasawino Market Manyatta</t>
  </si>
  <si>
    <t>Denis Okeyo</t>
  </si>
  <si>
    <t>Koguta village</t>
  </si>
  <si>
    <t>Victor Raballa</t>
  </si>
  <si>
    <t>Marion Ajwang'</t>
  </si>
  <si>
    <t>Rabuor</t>
  </si>
  <si>
    <t>Maurice Alal</t>
  </si>
  <si>
    <t>Nyakach</t>
  </si>
  <si>
    <t>Mercy Dache</t>
  </si>
  <si>
    <t>Domestic quarrel</t>
  </si>
  <si>
    <t xml:space="preserve">Kevin Omolo, Rhoda Okumu And Susan Odawa </t>
  </si>
  <si>
    <t>Millicent Ouma</t>
  </si>
  <si>
    <t xml:space="preserve"> Willis Otieno</t>
  </si>
  <si>
    <t>Bandani village</t>
  </si>
  <si>
    <t>Paul Mutua</t>
  </si>
  <si>
    <t>Stella Makaa Makuthu</t>
  </si>
  <si>
    <t>Alexander Mbevo Mutemi</t>
  </si>
  <si>
    <t>Kavililo village</t>
  </si>
  <si>
    <t>Kitui</t>
  </si>
  <si>
    <t>John Mula</t>
  </si>
  <si>
    <t>Elizabeth Kivuva</t>
  </si>
  <si>
    <t>Fredrick Mutia</t>
  </si>
  <si>
    <t>Musembi Nzengu</t>
  </si>
  <si>
    <t>Thenge Mutua</t>
  </si>
  <si>
    <t>Thua village</t>
  </si>
  <si>
    <t>Ciiru Murimi</t>
  </si>
  <si>
    <t>John Mutinda</t>
  </si>
  <si>
    <t>Katithini village</t>
  </si>
  <si>
    <t>Kitavi Mutua</t>
  </si>
  <si>
    <t>Daisy Mbaluka Mbathe</t>
  </si>
  <si>
    <t>Lawrence Mbindi Ndolo</t>
  </si>
  <si>
    <t>Makuka village</t>
  </si>
  <si>
    <t>Beatrice Nthenya</t>
  </si>
  <si>
    <t>Michael Nguu Musyoka</t>
  </si>
  <si>
    <t>Kisai ward</t>
  </si>
  <si>
    <t>Philip Muasya</t>
  </si>
  <si>
    <t>Joyce Mwnede</t>
  </si>
  <si>
    <t>Const. David Kimani Nduati</t>
  </si>
  <si>
    <t>Mwingi</t>
  </si>
  <si>
    <t xml:space="preserve"> Zipporah Ngwatu</t>
  </si>
  <si>
    <t>Kitui Town</t>
  </si>
  <si>
    <t>Musembi Nzengu And Gerald Mutethia</t>
  </si>
  <si>
    <t>Mary Nzambi</t>
  </si>
  <si>
    <t xml:space="preserve">Mutati Mwaniki </t>
  </si>
  <si>
    <t xml:space="preserve">denied him access to the Sh11,500 monthly support from Red Cross Society </t>
  </si>
  <si>
    <t>Suspect beaten to death</t>
  </si>
  <si>
    <t>Kiima village in Kamuwongo division of Kyuso sub county</t>
  </si>
  <si>
    <t>Kwekwe Nyanje</t>
  </si>
  <si>
    <t>Mdoe Kombe</t>
  </si>
  <si>
    <t>Majungwani village</t>
  </si>
  <si>
    <t>Kwale</t>
  </si>
  <si>
    <t>Fadhili Fredrick</t>
  </si>
  <si>
    <t>Onesmus Mutuku Kilonzo</t>
  </si>
  <si>
    <t>Maendeleo village</t>
  </si>
  <si>
    <t>Riziki Hamisi</t>
  </si>
  <si>
    <t>Kwale County</t>
  </si>
  <si>
    <t>Andrew Kasuku</t>
  </si>
  <si>
    <t>Lucy Atieno</t>
  </si>
  <si>
    <t>Tonik Oloo</t>
  </si>
  <si>
    <t>Lungalunga</t>
  </si>
  <si>
    <t>Eliud Waithaka</t>
  </si>
  <si>
    <t>Mary Wanjiku Kanyi</t>
  </si>
  <si>
    <t>John Mathenge</t>
  </si>
  <si>
    <t>Likii Estate</t>
  </si>
  <si>
    <t>Laikipia</t>
  </si>
  <si>
    <t>Steve Njuguna</t>
  </si>
  <si>
    <t>Grace Wamaitha</t>
  </si>
  <si>
    <t>Pesi village</t>
  </si>
  <si>
    <t>Jacinta Mutura</t>
  </si>
  <si>
    <t>Carol Nduta</t>
  </si>
  <si>
    <t>Njeri</t>
  </si>
  <si>
    <t>Nanyuki town</t>
  </si>
  <si>
    <t>Mercy Talam</t>
  </si>
  <si>
    <t>Laikipia County</t>
  </si>
  <si>
    <t>James Murimi</t>
  </si>
  <si>
    <t>Joyce Syombua</t>
  </si>
  <si>
    <t>Major Peter Mwaura</t>
  </si>
  <si>
    <t>Thigithu Estate</t>
  </si>
  <si>
    <t>Ndichu Wainaina</t>
  </si>
  <si>
    <t>Shiphira Mukami</t>
  </si>
  <si>
    <t>David Wambugu Kanyi</t>
  </si>
  <si>
    <t>Mutara</t>
  </si>
  <si>
    <t>Kalume Kazungu</t>
  </si>
  <si>
    <t>Janet Nyaga</t>
  </si>
  <si>
    <t>Samuel Muhuri</t>
  </si>
  <si>
    <t>Gadeni</t>
  </si>
  <si>
    <t>Lamu</t>
  </si>
  <si>
    <t>Akello Odenyo</t>
  </si>
  <si>
    <t>EKN</t>
  </si>
  <si>
    <t>KMM</t>
  </si>
  <si>
    <t>Not guilty</t>
  </si>
  <si>
    <t>Mwala</t>
  </si>
  <si>
    <t>Machakos</t>
  </si>
  <si>
    <t>George Owiti</t>
  </si>
  <si>
    <t>Esther Mwongela</t>
  </si>
  <si>
    <t>Mlolongo town</t>
  </si>
  <si>
    <t>Machakos town</t>
  </si>
  <si>
    <t>Philomena Kilonzo</t>
  </si>
  <si>
    <t>Joyce Kaswi</t>
  </si>
  <si>
    <t>Jeminsta Mutua Mbai</t>
  </si>
  <si>
    <t>Makutano</t>
  </si>
  <si>
    <t>Mutituni</t>
  </si>
  <si>
    <t>Elizabeth Koki</t>
  </si>
  <si>
    <t>Christian Kadima</t>
  </si>
  <si>
    <t>Syokimau</t>
  </si>
  <si>
    <t>Tufform settlement</t>
  </si>
  <si>
    <t>Mercy Gichuhi</t>
  </si>
  <si>
    <t>Mwango Nzioka</t>
  </si>
  <si>
    <t>Mitaboni</t>
  </si>
  <si>
    <t>Patrick Mutisya</t>
  </si>
  <si>
    <t>Faith Mueni Mutinga</t>
  </si>
  <si>
    <t>Harrison Mutisya</t>
  </si>
  <si>
    <t>Kikumbo village</t>
  </si>
  <si>
    <t>Irene Wambua</t>
  </si>
  <si>
    <t xml:space="preserve">Charles Mwania </t>
  </si>
  <si>
    <t>Mutituni village</t>
  </si>
  <si>
    <t>Ndaisi Wavinya</t>
  </si>
  <si>
    <t>Daniel Mainge</t>
  </si>
  <si>
    <t>Kalunga village</t>
  </si>
  <si>
    <t>Eunice Syokau</t>
  </si>
  <si>
    <t>Peter Mwangi</t>
  </si>
  <si>
    <t>The Star</t>
  </si>
  <si>
    <t>Kathiani</t>
  </si>
  <si>
    <t>Faustine Mutua</t>
  </si>
  <si>
    <t>Kwa Kiliu market</t>
  </si>
  <si>
    <t>Makueni</t>
  </si>
  <si>
    <t>Stephen Nzioka</t>
  </si>
  <si>
    <t>Kisilu</t>
  </si>
  <si>
    <t>Makindu</t>
  </si>
  <si>
    <t>Mutua Kameti</t>
  </si>
  <si>
    <t>Jackline Mutindi</t>
  </si>
  <si>
    <t>Emali Bus park</t>
  </si>
  <si>
    <t>Rose Ngina</t>
  </si>
  <si>
    <t>Maithya Waema</t>
  </si>
  <si>
    <t>Kilungu</t>
  </si>
  <si>
    <t>Ann Makau</t>
  </si>
  <si>
    <t>Nzyuko Makau</t>
  </si>
  <si>
    <t>Kibwezi east</t>
  </si>
  <si>
    <t>Manase Otsialo</t>
  </si>
  <si>
    <t>Feisal Ibrahim Yusuf</t>
  </si>
  <si>
    <t>Mandera town</t>
  </si>
  <si>
    <t>Mandera</t>
  </si>
  <si>
    <t>Stephen Astariko</t>
  </si>
  <si>
    <t>Halima Mohamed</t>
  </si>
  <si>
    <t>Abiweli Adan Noor</t>
  </si>
  <si>
    <t>Jamuhuri</t>
  </si>
  <si>
    <t xml:space="preserve">Safo Wako </t>
  </si>
  <si>
    <t>Sololo</t>
  </si>
  <si>
    <t>Marsabit</t>
  </si>
  <si>
    <t>Lydiah Nyawira</t>
  </si>
  <si>
    <t>Dorcas Kaguri</t>
  </si>
  <si>
    <t>Julius Koome</t>
  </si>
  <si>
    <t>Gaintume village</t>
  </si>
  <si>
    <t>Meru</t>
  </si>
  <si>
    <t>Gerald Mutethia</t>
  </si>
  <si>
    <t>Alice Kinya</t>
  </si>
  <si>
    <t>Francis Bundi (Deceased)</t>
  </si>
  <si>
    <t>Igembe South</t>
  </si>
  <si>
    <t>Roseline Munala</t>
  </si>
  <si>
    <t>Mitunguu vilage</t>
  </si>
  <si>
    <t>Poly Kathambi</t>
  </si>
  <si>
    <t>Paul Nteere</t>
  </si>
  <si>
    <t>Gankere vilage</t>
  </si>
  <si>
    <t>Grace Mugure</t>
  </si>
  <si>
    <t>Meru County</t>
  </si>
  <si>
    <t>Anne Kanariu</t>
  </si>
  <si>
    <t>Imenti</t>
  </si>
  <si>
    <t>Anne Kathure</t>
  </si>
  <si>
    <t>Gachanaka area</t>
  </si>
  <si>
    <t>Tabitha Nkatha</t>
  </si>
  <si>
    <t>Jason Likura</t>
  </si>
  <si>
    <t>Nkatha</t>
  </si>
  <si>
    <t>Patrick Mwirigi</t>
  </si>
  <si>
    <t>Kibirichi area</t>
  </si>
  <si>
    <t>David Muchui</t>
  </si>
  <si>
    <t xml:space="preserve"> Beatrice Gatwiri</t>
  </si>
  <si>
    <t>Allan Kirimi</t>
  </si>
  <si>
    <t>Rwerea hill on the outskirts of Mikinduri town</t>
  </si>
  <si>
    <t>Pst. BM</t>
  </si>
  <si>
    <t>Imenti south</t>
  </si>
  <si>
    <t xml:space="preserve"> Gitonga Marete</t>
  </si>
  <si>
    <t>Vera Kanario</t>
  </si>
  <si>
    <t>Boniface Mutuma</t>
  </si>
  <si>
    <t>Mitunguu market</t>
  </si>
  <si>
    <t>Faith Kinya</t>
  </si>
  <si>
    <t xml:space="preserve">Jackson Mworia Rukunga 
</t>
  </si>
  <si>
    <t>Igoki village</t>
  </si>
  <si>
    <t>Faith Nyasuguta</t>
  </si>
  <si>
    <t>Janet Awuor</t>
  </si>
  <si>
    <t>Enock Akoko</t>
  </si>
  <si>
    <t>Highway CompleNot Provided Lodge</t>
  </si>
  <si>
    <t>Migori</t>
  </si>
  <si>
    <t>Vivere Nandiemo</t>
  </si>
  <si>
    <t>Rael Boke Mwita</t>
  </si>
  <si>
    <t>Pintu Boroi Mwita</t>
  </si>
  <si>
    <t>Biasumu village</t>
  </si>
  <si>
    <t>Manuel Odeny</t>
  </si>
  <si>
    <t>Evelyn Musira</t>
  </si>
  <si>
    <t>Lucas Kuria</t>
  </si>
  <si>
    <t>Oruba Estate</t>
  </si>
  <si>
    <t>Caleb Kingwara</t>
  </si>
  <si>
    <t>Samuel Guya</t>
  </si>
  <si>
    <t>Arundo village</t>
  </si>
  <si>
    <t>Maureen Moraa Kiriago</t>
  </si>
  <si>
    <t>Const, Anthony Njuguna</t>
  </si>
  <si>
    <t>Suna East</t>
  </si>
  <si>
    <t xml:space="preserve"> Yvonne Akinyi</t>
  </si>
  <si>
    <t>Awendo town-Siruti road</t>
  </si>
  <si>
    <t>Malemba Mkongo</t>
  </si>
  <si>
    <t>Martha</t>
  </si>
  <si>
    <t>Casablanca Night club</t>
  </si>
  <si>
    <t>Mombasa</t>
  </si>
  <si>
    <t>Peninah Kaimenyi</t>
  </si>
  <si>
    <t>Mombasa County</t>
  </si>
  <si>
    <t>Mpasho</t>
  </si>
  <si>
    <t>Beatrice Wambui</t>
  </si>
  <si>
    <t xml:space="preserve"> Hillary Makokha</t>
  </si>
  <si>
    <t>Ann Mughoi</t>
  </si>
  <si>
    <t>Elisha Misiko</t>
  </si>
  <si>
    <t>Chembani in Bamburi</t>
  </si>
  <si>
    <t>Patrick Beja And Willis Oketch</t>
  </si>
  <si>
    <t>Ruth Mavete Mutiso</t>
  </si>
  <si>
    <t>Peter Mukundi</t>
  </si>
  <si>
    <t>Mbuyuni village in Likoni</t>
  </si>
  <si>
    <t>Francis Mtalaki</t>
  </si>
  <si>
    <t>Emaily Masinza</t>
  </si>
  <si>
    <t>Meshack Kosgei</t>
  </si>
  <si>
    <t xml:space="preserve"> Brian Ocharo</t>
  </si>
  <si>
    <t>Eznas Ipale</t>
  </si>
  <si>
    <t>Henry Thuku Kwira</t>
  </si>
  <si>
    <t>Mtongwe</t>
  </si>
  <si>
    <t>payment disagreement</t>
  </si>
  <si>
    <t>Bombolulu</t>
  </si>
  <si>
    <t>Anna Kambua</t>
  </si>
  <si>
    <t xml:space="preserve">Evans Kuti </t>
  </si>
  <si>
    <t>case in court</t>
  </si>
  <si>
    <t>Chaani</t>
  </si>
  <si>
    <t>Boniface Gikandi</t>
  </si>
  <si>
    <t>Simon Muraya</t>
  </si>
  <si>
    <t>Alice Waithera</t>
  </si>
  <si>
    <t>Margaret Wanjiru</t>
  </si>
  <si>
    <t>Karuku</t>
  </si>
  <si>
    <t>Teresia Wambui Ndirangu</t>
  </si>
  <si>
    <t>Mowlem village</t>
  </si>
  <si>
    <t>Joyce Wambui</t>
  </si>
  <si>
    <t>wealth possesion</t>
  </si>
  <si>
    <t>Maki Estate</t>
  </si>
  <si>
    <t>Allan Mungai</t>
  </si>
  <si>
    <t>Jane Wambui</t>
  </si>
  <si>
    <t>Julia Nyambura</t>
  </si>
  <si>
    <t>Kagumo-ini village</t>
  </si>
  <si>
    <t>Milkah Muthoni</t>
  </si>
  <si>
    <t>two students a boy and a girl</t>
  </si>
  <si>
    <t>Mathioya</t>
  </si>
  <si>
    <t>Beatrice Muthoni</t>
  </si>
  <si>
    <t>Kaweru village</t>
  </si>
  <si>
    <t>Esther Ayenee</t>
  </si>
  <si>
    <t>Simon Ekare</t>
  </si>
  <si>
    <t>Kanderendu village</t>
  </si>
  <si>
    <t>Christine Ruguru</t>
  </si>
  <si>
    <t>Stephen Mwangi</t>
  </si>
  <si>
    <t>Duncan Wakaihiu</t>
  </si>
  <si>
    <t>Gathumbi village</t>
  </si>
  <si>
    <t>Ndungu Gachane</t>
  </si>
  <si>
    <t>Jedida Wambui Muthengi</t>
  </si>
  <si>
    <t>Maragua Ridge</t>
  </si>
  <si>
    <t>Judy Wanjiru Gacheru</t>
  </si>
  <si>
    <t>Kamuiru village</t>
  </si>
  <si>
    <t>Lydia Chege</t>
  </si>
  <si>
    <t>Kihumbu-ini village</t>
  </si>
  <si>
    <t>Sarah Wambui</t>
  </si>
  <si>
    <t>Muranga County</t>
  </si>
  <si>
    <t>Millicent Wanjiru</t>
  </si>
  <si>
    <t>Patrick Chege</t>
  </si>
  <si>
    <t>Liquid Cash Bar</t>
  </si>
  <si>
    <t>Mary Njeri</t>
  </si>
  <si>
    <t>Kiandugira village</t>
  </si>
  <si>
    <t>Lucy Wanjiru</t>
  </si>
  <si>
    <t>Elijah Muthie Njanja</t>
  </si>
  <si>
    <t>Mukuyu</t>
  </si>
  <si>
    <t>Nation</t>
  </si>
  <si>
    <t xml:space="preserve">Wanjiku Njambi
</t>
  </si>
  <si>
    <t>the two were heard arguing about bhang proceeds</t>
  </si>
  <si>
    <t>Mathare estate</t>
  </si>
  <si>
    <t>Mwangi Muiruri</t>
  </si>
  <si>
    <t xml:space="preserve">Magdalene Wangechi </t>
  </si>
  <si>
    <t>Patrick Irungu</t>
  </si>
  <si>
    <t>quarrelling over a plate of food</t>
  </si>
  <si>
    <t>Suspect lynched to death</t>
  </si>
  <si>
    <t>Gaturo village</t>
  </si>
  <si>
    <t>Sumeya Sadik</t>
  </si>
  <si>
    <t>Abdi Mohammed Siyat, Najma Ali Mohammed</t>
  </si>
  <si>
    <t>Eastleigh</t>
  </si>
  <si>
    <t>Nairobi</t>
  </si>
  <si>
    <t>Kamau Muthoni</t>
  </si>
  <si>
    <t>Wambui Kabiru</t>
  </si>
  <si>
    <t>Moses Dola Otieno</t>
  </si>
  <si>
    <t>Umoja estate</t>
  </si>
  <si>
    <t>Elisha Otieno</t>
  </si>
  <si>
    <t>Mercy Keino</t>
  </si>
  <si>
    <t>William Kabogo</t>
  </si>
  <si>
    <t>Waiyaki way</t>
  </si>
  <si>
    <t>Benson Matheka</t>
  </si>
  <si>
    <t>Careen Chepchumba</t>
  </si>
  <si>
    <t>Louis Otieno</t>
  </si>
  <si>
    <t>Santonia court</t>
  </si>
  <si>
    <t>Richard Munguti</t>
  </si>
  <si>
    <t>Mercy Muthethya Ngali</t>
  </si>
  <si>
    <t>Jame Mulu Mulewa</t>
  </si>
  <si>
    <t>Denied sex</t>
  </si>
  <si>
    <t>Mathare North</t>
  </si>
  <si>
    <t xml:space="preserve">Annette Wambulwa </t>
  </si>
  <si>
    <t>Carolyne Chanjirah</t>
  </si>
  <si>
    <t>Pst. Paul Ng'ang'a</t>
  </si>
  <si>
    <t>kawangware</t>
  </si>
  <si>
    <t>Nelius Nduku</t>
  </si>
  <si>
    <t>Constable Julius Otieno Kimore</t>
  </si>
  <si>
    <t>Murder-Suicide</t>
  </si>
  <si>
    <t>Kamiti Corner in Kasarani</t>
  </si>
  <si>
    <t>Star Reporter</t>
  </si>
  <si>
    <t>Peris Agumbi</t>
  </si>
  <si>
    <t>Carl Singleton</t>
  </si>
  <si>
    <t>Gigiri</t>
  </si>
  <si>
    <t>Lilian Musili</t>
  </si>
  <si>
    <t>Linda Wanjiku Irungu</t>
  </si>
  <si>
    <t>Erustus Ngura Odhiambo</t>
  </si>
  <si>
    <t>Buruburu Phase 5</t>
  </si>
  <si>
    <t>Gordon Osen</t>
  </si>
  <si>
    <t>AMM</t>
  </si>
  <si>
    <t>POO</t>
  </si>
  <si>
    <t xml:space="preserve"> Pkemoi Ng'Enoh</t>
  </si>
  <si>
    <t>Charity Mukami</t>
  </si>
  <si>
    <t>Martin Kunguru</t>
  </si>
  <si>
    <t>Nyayo Estate, Embakasi</t>
  </si>
  <si>
    <t>Nancy Wanza</t>
  </si>
  <si>
    <t>Job Abuga</t>
  </si>
  <si>
    <t>Umoja III estate</t>
  </si>
  <si>
    <t xml:space="preserve"> Nairobian Reporter </t>
  </si>
  <si>
    <t>Priscillah Waithera</t>
  </si>
  <si>
    <t>Anthony Kiplagat</t>
  </si>
  <si>
    <t>Muthaiga estate</t>
  </si>
  <si>
    <t>Nancy Agutu</t>
  </si>
  <si>
    <t>Grace Wangeci</t>
  </si>
  <si>
    <t>Richard Alden</t>
  </si>
  <si>
    <t>Windy Ridge Road</t>
  </si>
  <si>
    <t xml:space="preserve">Edinas Nyainda </t>
  </si>
  <si>
    <t>Maxwell Okoth</t>
  </si>
  <si>
    <t>Jackline Asiko</t>
  </si>
  <si>
    <t>Geoffrey Shitero</t>
  </si>
  <si>
    <t>Kibera slums</t>
  </si>
  <si>
    <t xml:space="preserve">Kamau Maichuhie </t>
  </si>
  <si>
    <t>Joyce Wangari</t>
  </si>
  <si>
    <t>George Njenga Chege</t>
  </si>
  <si>
    <t>Kiganjo Estate in Thika.</t>
  </si>
  <si>
    <t>Grace Nduta Mwaura</t>
  </si>
  <si>
    <t>Charles Kibe</t>
  </si>
  <si>
    <t>Kahawa Sukari</t>
  </si>
  <si>
    <t>Achieng Ochieng</t>
  </si>
  <si>
    <t>Patrick Odhiambo, Celeb Muyonga, and Brian Agunjo.</t>
  </si>
  <si>
    <t>Ngara</t>
  </si>
  <si>
    <t>Wainaina Wambu</t>
  </si>
  <si>
    <t>Viola Awuor</t>
  </si>
  <si>
    <t>Patrick Odundo</t>
  </si>
  <si>
    <t>Ruaraka Laundry slums</t>
  </si>
  <si>
    <t>Grace Njeri</t>
  </si>
  <si>
    <t>Erastus Kabage Mwangi</t>
  </si>
  <si>
    <t>Muthure village</t>
  </si>
  <si>
    <t>Geoffery Mosoku</t>
  </si>
  <si>
    <t>Lydia Nyaboke Onano</t>
  </si>
  <si>
    <t>Richard Nyakina</t>
  </si>
  <si>
    <t>Ngong forest</t>
  </si>
  <si>
    <t>Ann Wanjohi</t>
  </si>
  <si>
    <t>Tom Mboya Street</t>
  </si>
  <si>
    <t>Anne Wanjohi</t>
  </si>
  <si>
    <t>Samuel Njoroge</t>
  </si>
  <si>
    <t>Gabriela Maina</t>
  </si>
  <si>
    <t>Cyrus Maina Njuguna</t>
  </si>
  <si>
    <t>Breakup</t>
  </si>
  <si>
    <t>Karen</t>
  </si>
  <si>
    <t>Stella Cherono</t>
  </si>
  <si>
    <t>Diana Mumbi Mwangi</t>
  </si>
  <si>
    <t>Ahmed</t>
  </si>
  <si>
    <t>KNH</t>
  </si>
  <si>
    <t>Titus Masika</t>
  </si>
  <si>
    <t>workplace</t>
  </si>
  <si>
    <t>Ngong road</t>
  </si>
  <si>
    <t>Joseph Ndunda And Maureen Kinyanjui</t>
  </si>
  <si>
    <t>Ann Gathoni</t>
  </si>
  <si>
    <t>Maina</t>
  </si>
  <si>
    <t>Marurui village</t>
  </si>
  <si>
    <t>Ruai AP camp</t>
  </si>
  <si>
    <t>Chokaa</t>
  </si>
  <si>
    <t>Mercy Asamba</t>
  </si>
  <si>
    <t>Monica Nyawira Kimani</t>
  </si>
  <si>
    <t>Joseph Kuria Irungu</t>
  </si>
  <si>
    <t>Kilimani</t>
  </si>
  <si>
    <t>Grace Adhiambo</t>
  </si>
  <si>
    <t>Emmanuel Owuor</t>
  </si>
  <si>
    <t>GNK Hamza Hotel lodge</t>
  </si>
  <si>
    <t>Beryl Adhiambo Ouma</t>
  </si>
  <si>
    <t>Lyko Onyango</t>
  </si>
  <si>
    <t>Ghetto Radio</t>
  </si>
  <si>
    <t>Wanjiru</t>
  </si>
  <si>
    <t>Nairobi County</t>
  </si>
  <si>
    <t>Hellen Kwamboka</t>
  </si>
  <si>
    <t>Eunice Adhiambo</t>
  </si>
  <si>
    <t>John Otieno</t>
  </si>
  <si>
    <t>Soweto Estate</t>
  </si>
  <si>
    <t>Corazon Wafula</t>
  </si>
  <si>
    <t>Priscila Cherono</t>
  </si>
  <si>
    <t>Washington Onyango</t>
  </si>
  <si>
    <t>Kioi area</t>
  </si>
  <si>
    <t>Edidah Wanjiku</t>
  </si>
  <si>
    <t>James Otieno</t>
  </si>
  <si>
    <t>Donholm estate</t>
  </si>
  <si>
    <t xml:space="preserve">Corazon Wafula </t>
  </si>
  <si>
    <t>Catherine Mwove</t>
  </si>
  <si>
    <t>Mwanza Ukadidi Didier</t>
  </si>
  <si>
    <t>pipeline estate</t>
  </si>
  <si>
    <t>David Migwi Kariuki</t>
  </si>
  <si>
    <t>Sheila Njeri Murage</t>
  </si>
  <si>
    <t>christine Awuor, Claire chepkoech, Shem Lwanga</t>
  </si>
  <si>
    <t>Abbisseneh Katungu</t>
  </si>
  <si>
    <t>Jescah Kalumu Mungatu</t>
  </si>
  <si>
    <t>Makadara</t>
  </si>
  <si>
    <t>Mate Tongola</t>
  </si>
  <si>
    <t>Joseph Njenga</t>
  </si>
  <si>
    <t>Kasarani</t>
  </si>
  <si>
    <t>By 
 Vincent Achuka</t>
  </si>
  <si>
    <t>Charity Cheboi</t>
  </si>
  <si>
    <t>Kevin kipkoech</t>
  </si>
  <si>
    <t>government quatres</t>
  </si>
  <si>
    <t>Velvine Nungari</t>
  </si>
  <si>
    <t>Joseph Murimi</t>
  </si>
  <si>
    <t>Kiamumbi area</t>
  </si>
  <si>
    <t>Kamore Maina</t>
  </si>
  <si>
    <t>James Wafula</t>
  </si>
  <si>
    <t>Kangemi</t>
  </si>
  <si>
    <t>Monicah Katunge Katee</t>
  </si>
  <si>
    <t>Mukarara village</t>
  </si>
  <si>
    <t>James Wanzala</t>
  </si>
  <si>
    <t>Kware Embakasi</t>
  </si>
  <si>
    <t>Faith Nyatichi</t>
  </si>
  <si>
    <t>Stephen Mauti</t>
  </si>
  <si>
    <t>Nzau Musau</t>
  </si>
  <si>
    <t>Kate Mitchell</t>
  </si>
  <si>
    <t>Westland hotel</t>
  </si>
  <si>
    <t>Cyrus Ombati And Laura Shatuma</t>
  </si>
  <si>
    <t>Carol Imbatu</t>
  </si>
  <si>
    <t>Const. Benson Imbatu</t>
  </si>
  <si>
    <t>Kabete area</t>
  </si>
  <si>
    <t>Snorine Ambrose</t>
  </si>
  <si>
    <t>Kayole</t>
  </si>
  <si>
    <t>Patrick Vidija</t>
  </si>
  <si>
    <t>Rahab Gathoni</t>
  </si>
  <si>
    <t>Sebastian Kamande</t>
  </si>
  <si>
    <t>Dandora</t>
  </si>
  <si>
    <t>Vanitah Nikesh</t>
  </si>
  <si>
    <t>Nikesh Harji Shanghani</t>
  </si>
  <si>
    <t>Lang'ata area</t>
  </si>
  <si>
    <t>Peter Kamau</t>
  </si>
  <si>
    <t>Drive inn</t>
  </si>
  <si>
    <t>Maggy</t>
  </si>
  <si>
    <t>Huruma area</t>
  </si>
  <si>
    <t>Pamela Asesa</t>
  </si>
  <si>
    <t>Edwin Onditi Odada</t>
  </si>
  <si>
    <t>Mowlwm</t>
  </si>
  <si>
    <t>Naneu Muthoni</t>
  </si>
  <si>
    <t>Thomas Mbugua Muthee</t>
  </si>
  <si>
    <t>Oyoka Estate</t>
  </si>
  <si>
    <t>Wangethi Chege</t>
  </si>
  <si>
    <t>Zimmerman</t>
  </si>
  <si>
    <t>Joseph Wanaina</t>
  </si>
  <si>
    <t>domestic fight</t>
  </si>
  <si>
    <t>Tushauriane</t>
  </si>
  <si>
    <t xml:space="preserve"> Mary Wambui</t>
  </si>
  <si>
    <t xml:space="preserve">Rhoda Machuma Chepchumba </t>
  </si>
  <si>
    <t>Mark Mulanda</t>
  </si>
  <si>
    <t>Mugumoini chief's camp</t>
  </si>
  <si>
    <t>Edwin Obuya</t>
  </si>
  <si>
    <t>Langata</t>
  </si>
  <si>
    <t>Lucy Wanjiku Maina</t>
  </si>
  <si>
    <t>Samuel Longitude</t>
  </si>
  <si>
    <t>domestic argument</t>
  </si>
  <si>
    <t xml:space="preserve"> Mercy Koskei</t>
  </si>
  <si>
    <t>June Jerop Kangogo</t>
  </si>
  <si>
    <t>Jesse Wafula Wakukha</t>
  </si>
  <si>
    <t>Roadside in Jamhuri Estate</t>
  </si>
  <si>
    <t>Doreen</t>
  </si>
  <si>
    <t>William Papai</t>
  </si>
  <si>
    <t>Kamulu</t>
  </si>
  <si>
    <t>domestic quarrel</t>
  </si>
  <si>
    <t>Buruburu</t>
  </si>
  <si>
    <t>Viona Achieng</t>
  </si>
  <si>
    <t>Nicholas Ouma Ochieng</t>
  </si>
  <si>
    <t>Kariadudu</t>
  </si>
  <si>
    <t>Sammy Kimatu</t>
  </si>
  <si>
    <t>Mary Nanjala Indimuli</t>
  </si>
  <si>
    <t xml:space="preserve">The rider made further advances and, when ignored, brandished a knife, </t>
  </si>
  <si>
    <t>Plainsview in South B</t>
  </si>
  <si>
    <t xml:space="preserve">Margaret Muchemi </t>
  </si>
  <si>
    <t>Kayole Junction</t>
  </si>
  <si>
    <t xml:space="preserve">Fidelis Kabunyi </t>
  </si>
  <si>
    <t>Mary Wanja</t>
  </si>
  <si>
    <t>Mwiki</t>
  </si>
  <si>
    <t>Parklands</t>
  </si>
  <si>
    <t>Esuron Phoebe</t>
  </si>
  <si>
    <t>Brenda Bosibori</t>
  </si>
  <si>
    <t>love gone sour</t>
  </si>
  <si>
    <t>Karagita area</t>
  </si>
  <si>
    <t>Naivasha</t>
  </si>
  <si>
    <t>By 
 Joseph Wangui</t>
  </si>
  <si>
    <t>Susan Wanjiru Kihiu</t>
  </si>
  <si>
    <t>Cecilia Waruguru</t>
  </si>
  <si>
    <t>King'ori Estate Naivasha</t>
  </si>
  <si>
    <t>Nakuru</t>
  </si>
  <si>
    <t xml:space="preserve"> Magdalene Wanja</t>
  </si>
  <si>
    <t>Maureen</t>
  </si>
  <si>
    <t>Freehold Estate</t>
  </si>
  <si>
    <t>Mercy Kahenda</t>
  </si>
  <si>
    <t>Rose Owuor</t>
  </si>
  <si>
    <t>Ingobor village</t>
  </si>
  <si>
    <t>Antony Gitonga</t>
  </si>
  <si>
    <t>Muniu village</t>
  </si>
  <si>
    <t>Kennedy Gachuhi, Philip Mwakio And Mkamburi Mwawas</t>
  </si>
  <si>
    <t>Jacinta Nyambura</t>
  </si>
  <si>
    <t>Daniel Mwangi (Deceased)</t>
  </si>
  <si>
    <t>Tayari village</t>
  </si>
  <si>
    <t>Simon Ngure</t>
  </si>
  <si>
    <t>Susan Njeri Kinuthia</t>
  </si>
  <si>
    <t>Stephen Kimani Mungai</t>
  </si>
  <si>
    <t>Kanu Street</t>
  </si>
  <si>
    <t>Ol-Rongai village</t>
  </si>
  <si>
    <t>Beatrice Mutura</t>
  </si>
  <si>
    <t>Benjamin Lelmen</t>
  </si>
  <si>
    <t>Kongoni station</t>
  </si>
  <si>
    <t>Cynthia Chelagat</t>
  </si>
  <si>
    <t>Edmond Ruto</t>
  </si>
  <si>
    <t>Egerton University</t>
  </si>
  <si>
    <t>Julius Chepkwony</t>
  </si>
  <si>
    <t>Jane Njoki</t>
  </si>
  <si>
    <t>Cosmas Kipchumba Biwott</t>
  </si>
  <si>
    <t>Suswa ASTU camp</t>
  </si>
  <si>
    <t>George Murage</t>
  </si>
  <si>
    <t>Elizabeth Wanjiru</t>
  </si>
  <si>
    <t>Lawrence Gitau</t>
  </si>
  <si>
    <t>Longonot centre</t>
  </si>
  <si>
    <t>Caroline Chebet</t>
  </si>
  <si>
    <t>Ng'ondu village</t>
  </si>
  <si>
    <t>Evans Asiba</t>
  </si>
  <si>
    <t>Raphael Waweru</t>
  </si>
  <si>
    <t>Mwiciringiri area</t>
  </si>
  <si>
    <t>Mercy Koskey</t>
  </si>
  <si>
    <t>Irene Jepchumba</t>
  </si>
  <si>
    <t>Godfrey Kipkemboi Kangogo</t>
  </si>
  <si>
    <t>Choka falls</t>
  </si>
  <si>
    <t>Trizza Wanjiru</t>
  </si>
  <si>
    <t>Amina Jere</t>
  </si>
  <si>
    <t>Gilgil</t>
  </si>
  <si>
    <t>Sharon Mmbone</t>
  </si>
  <si>
    <t>Hillary Nandasaba</t>
  </si>
  <si>
    <t>Njokerio village</t>
  </si>
  <si>
    <t>Daniel Chege</t>
  </si>
  <si>
    <t>Caren Chepkurui</t>
  </si>
  <si>
    <t>Nelson Makori</t>
  </si>
  <si>
    <t>Tapare Village</t>
  </si>
  <si>
    <t>Eunice Wambui</t>
  </si>
  <si>
    <t>Const. Cornelius Taalam</t>
  </si>
  <si>
    <t>Njoro Piave</t>
  </si>
  <si>
    <t>Kennedy Gachuhi</t>
  </si>
  <si>
    <t>Wietar Kerubo</t>
  </si>
  <si>
    <t>Robert Nyakundi</t>
  </si>
  <si>
    <t>Mawe village</t>
  </si>
  <si>
    <t>Damaris Mbugua</t>
  </si>
  <si>
    <t>Nakuru County</t>
  </si>
  <si>
    <t>Macharia Mwangi</t>
  </si>
  <si>
    <t>Mercy Chepkurui</t>
  </si>
  <si>
    <t>Carol Chepchirchir</t>
  </si>
  <si>
    <t>Veronica Wachuka</t>
  </si>
  <si>
    <t>Margaret W</t>
  </si>
  <si>
    <t>Lucy Njeri</t>
  </si>
  <si>
    <t>Ernest Kibet Kemei</t>
  </si>
  <si>
    <t>Kirobon farm</t>
  </si>
  <si>
    <t>Phyllis Musasia</t>
  </si>
  <si>
    <t>Lucy Nyira</t>
  </si>
  <si>
    <t>Bernard Kahira</t>
  </si>
  <si>
    <t>Kambi Turkana village</t>
  </si>
  <si>
    <t>Eunice Wangui</t>
  </si>
  <si>
    <t>Joseph Muchiri</t>
  </si>
  <si>
    <t>Muthiga farm</t>
  </si>
  <si>
    <t>Ann Nyambura</t>
  </si>
  <si>
    <t>Lucy Waithira</t>
  </si>
  <si>
    <t>John Ngige</t>
  </si>
  <si>
    <t>Molo</t>
  </si>
  <si>
    <t>Leah Nasuhu Terewa</t>
  </si>
  <si>
    <t>Kennedy Otieno Oloo</t>
  </si>
  <si>
    <t>Kiamunyeki</t>
  </si>
  <si>
    <t>Maryanne Nyambura</t>
  </si>
  <si>
    <t>Leah Oloo</t>
  </si>
  <si>
    <t xml:space="preserve"> Kennedy Oloo</t>
  </si>
  <si>
    <t>threatening to walk away and quit the marriage</t>
  </si>
  <si>
    <t>Lanet</t>
  </si>
  <si>
    <t>Prison Bridge</t>
  </si>
  <si>
    <t xml:space="preserve"> Elijah Cherutich</t>
  </si>
  <si>
    <t xml:space="preserve">Beatrice Wangari Karanja </t>
  </si>
  <si>
    <t>Zacharia Njuguna Chege</t>
  </si>
  <si>
    <t>Naishi Village</t>
  </si>
  <si>
    <t>Mercy Njeri Mbatia</t>
  </si>
  <si>
    <t>John Mwangi Githaiga</t>
  </si>
  <si>
    <t>Mathanguata area</t>
  </si>
  <si>
    <t>Diana Githomi</t>
  </si>
  <si>
    <t>Eric Maingi</t>
  </si>
  <si>
    <t>Sarah Nafula</t>
  </si>
  <si>
    <t>Loise Macharia</t>
  </si>
  <si>
    <t>Joseph Kipkurui</t>
  </si>
  <si>
    <t>Huruma east</t>
  </si>
  <si>
    <t>By 
 John Njoroge</t>
  </si>
  <si>
    <t>Chogocho village</t>
  </si>
  <si>
    <t>Beth Mwihaki</t>
  </si>
  <si>
    <t>Charles Mwaura</t>
  </si>
  <si>
    <t>Kayole estate Naivasha</t>
  </si>
  <si>
    <t>Kosovo village Naivasha</t>
  </si>
  <si>
    <t xml:space="preserve">George Murage </t>
  </si>
  <si>
    <t>Jane Wangari</t>
  </si>
  <si>
    <t>Maella Naivasha</t>
  </si>
  <si>
    <t>Kiprotich Kimetto</t>
  </si>
  <si>
    <t>kuresoi</t>
  </si>
  <si>
    <t>Mary Nyambura</t>
  </si>
  <si>
    <t>Const. Bernard Sivo</t>
  </si>
  <si>
    <t>Njoro subcounty hospital</t>
  </si>
  <si>
    <t>Martha Waithera</t>
  </si>
  <si>
    <t>Moses Leparani</t>
  </si>
  <si>
    <t>Lake view</t>
  </si>
  <si>
    <t>Njeri Kamande</t>
  </si>
  <si>
    <t>Paul Otieno</t>
  </si>
  <si>
    <t>Stadium flats</t>
  </si>
  <si>
    <t>Mary Njeri Kamande</t>
  </si>
  <si>
    <t>Afraha</t>
  </si>
  <si>
    <t>Kasarani estate Naivasha</t>
  </si>
  <si>
    <t>Mark Njoroge</t>
  </si>
  <si>
    <t>Muthaiga village</t>
  </si>
  <si>
    <t>Alice Njeri</t>
  </si>
  <si>
    <t>Perpetua Etyang</t>
  </si>
  <si>
    <t>Veronicah Wanjiru</t>
  </si>
  <si>
    <t>Mai Mahiu</t>
  </si>
  <si>
    <t>Kiambogo farm</t>
  </si>
  <si>
    <t>Winnie Chepkurui</t>
  </si>
  <si>
    <t>Amos Njuguna</t>
  </si>
  <si>
    <t>Zakayos estate</t>
  </si>
  <si>
    <t>Jasmine Njoki</t>
  </si>
  <si>
    <t>unknown assailant</t>
  </si>
  <si>
    <t>Kasambara Village</t>
  </si>
  <si>
    <t>Vincent Kejitan</t>
  </si>
  <si>
    <t>Wilson Koech</t>
  </si>
  <si>
    <t>Kaptimom Village</t>
  </si>
  <si>
    <t>Rael Jelimo</t>
  </si>
  <si>
    <t>Nancy Cherono</t>
  </si>
  <si>
    <t>Wilfred Sang</t>
  </si>
  <si>
    <t>Kiptaragor area</t>
  </si>
  <si>
    <t>Nandi</t>
  </si>
  <si>
    <t>Mathews Ndanyi</t>
  </si>
  <si>
    <t>Edna Kurgat</t>
  </si>
  <si>
    <t>Kapkatete village</t>
  </si>
  <si>
    <t>Barry Salil</t>
  </si>
  <si>
    <t>Kaiboi Technical institute</t>
  </si>
  <si>
    <t>Faith Chepkurui</t>
  </si>
  <si>
    <t>Nandi County</t>
  </si>
  <si>
    <t>Edward Kosut</t>
  </si>
  <si>
    <t>Florence Jepkoech</t>
  </si>
  <si>
    <t>Aron Kiplagat</t>
  </si>
  <si>
    <t>Kosoywa estate</t>
  </si>
  <si>
    <t>Naftali Avendi</t>
  </si>
  <si>
    <t>Kamoron Village</t>
  </si>
  <si>
    <t>Winstone Chiseremi</t>
  </si>
  <si>
    <t>Caroline Jerotich</t>
  </si>
  <si>
    <t>Benjamin Serem</t>
  </si>
  <si>
    <t>upset by his wifeâ€™s action to ditch him over constant threats to her life.</t>
  </si>
  <si>
    <t>Sang'alo</t>
  </si>
  <si>
    <t>Rispa Jelimo</t>
  </si>
  <si>
    <t>Philip Lokoruen</t>
  </si>
  <si>
    <t>Ndalat Market</t>
  </si>
  <si>
    <t>Mwangi Ndirangu</t>
  </si>
  <si>
    <t xml:space="preserve"> Christine Chelegat</t>
  </si>
  <si>
    <t>Kabiru village</t>
  </si>
  <si>
    <t>Nanyuki</t>
  </si>
  <si>
    <t>Adah Nyambura</t>
  </si>
  <si>
    <t>Bush near Maasai Mara University</t>
  </si>
  <si>
    <t>Narok</t>
  </si>
  <si>
    <t>Stanley Ogwae</t>
  </si>
  <si>
    <t>Samuel Otieno</t>
  </si>
  <si>
    <t>Bonyaiguba</t>
  </si>
  <si>
    <t>Nyamira</t>
  </si>
  <si>
    <t>Alvine Ratemo</t>
  </si>
  <si>
    <t>Nancy Nyarangi</t>
  </si>
  <si>
    <t>Bomabacho village</t>
  </si>
  <si>
    <t>James Ongwae</t>
  </si>
  <si>
    <t>Agnes Kwamboka Nyagwachi</t>
  </si>
  <si>
    <t>Bundo in Bogichora</t>
  </si>
  <si>
    <t xml:space="preserve">Mary Wangui </t>
  </si>
  <si>
    <t>Samuel Gicheha</t>
  </si>
  <si>
    <t>Ol Kalou- Gilgil road</t>
  </si>
  <si>
    <t>Nyandarua</t>
  </si>
  <si>
    <t>Kipipiri forest</t>
  </si>
  <si>
    <t>Waikwa Maina</t>
  </si>
  <si>
    <t>Lucy Wanjiku</t>
  </si>
  <si>
    <t>Matura village</t>
  </si>
  <si>
    <t>Maina Slums</t>
  </si>
  <si>
    <t>Teresiah Wanjiru</t>
  </si>
  <si>
    <t>Peter Ng'ang'a</t>
  </si>
  <si>
    <t>Lereshwa village</t>
  </si>
  <si>
    <t>Elizabeth Wanjiku</t>
  </si>
  <si>
    <t>Rurii village</t>
  </si>
  <si>
    <t>Consolata Wambui</t>
  </si>
  <si>
    <t>Allan Tiui</t>
  </si>
  <si>
    <t>Kambi Ndoro</t>
  </si>
  <si>
    <t>Margaret Wairimu</t>
  </si>
  <si>
    <t>Karagoini village</t>
  </si>
  <si>
    <t>Jane Waitherero</t>
  </si>
  <si>
    <t>Moses Njogu</t>
  </si>
  <si>
    <t>Kiharo village</t>
  </si>
  <si>
    <t>Nicholas Komu</t>
  </si>
  <si>
    <t>yvonne Mwendwa</t>
  </si>
  <si>
    <t>Dennis Kirimi</t>
  </si>
  <si>
    <t>Mt. Kenya</t>
  </si>
  <si>
    <t>Nyeri</t>
  </si>
  <si>
    <t>Catherin Wambui</t>
  </si>
  <si>
    <t>Karatina town</t>
  </si>
  <si>
    <t>Pkemoi Ng'Eno</t>
  </si>
  <si>
    <t>Alex Karue Wahome</t>
  </si>
  <si>
    <t>Ongoing hearing</t>
  </si>
  <si>
    <t>Kiambira Trading Center</t>
  </si>
  <si>
    <t>Esther wanjiku</t>
  </si>
  <si>
    <t>David Maina (deceased)</t>
  </si>
  <si>
    <t>Kieni</t>
  </si>
  <si>
    <t>Seth Mwaniki</t>
  </si>
  <si>
    <t>Witima village</t>
  </si>
  <si>
    <t>Allan Mungai And Darlington Manyara</t>
  </si>
  <si>
    <t>Zerepiah Gathoni</t>
  </si>
  <si>
    <t>Mr. Wakiwa</t>
  </si>
  <si>
    <t>Gathundia Othaya</t>
  </si>
  <si>
    <t>Joan Muthoni</t>
  </si>
  <si>
    <t>Nyeri town</t>
  </si>
  <si>
    <t>Nyaribo</t>
  </si>
  <si>
    <t>Mary Wangui</t>
  </si>
  <si>
    <t>Nyeri County</t>
  </si>
  <si>
    <t>Stephen Munyiri</t>
  </si>
  <si>
    <t>Grace Nyambura</t>
  </si>
  <si>
    <t>Simon Nderitu</t>
  </si>
  <si>
    <t>Catherine Nyambura</t>
  </si>
  <si>
    <t>MCA Eric Mwangi</t>
  </si>
  <si>
    <t>Hohwe dam</t>
  </si>
  <si>
    <t>Lydia Nyaguthii</t>
  </si>
  <si>
    <t>Stephen Muriithi</t>
  </si>
  <si>
    <t>Mathira</t>
  </si>
  <si>
    <t xml:space="preserve"> Loise Wambugu</t>
  </si>
  <si>
    <t xml:space="preserve">Judy Wangui </t>
  </si>
  <si>
    <t xml:space="preserve"> Dedan Gachoka</t>
  </si>
  <si>
    <t>Gathugu village in Mathira.</t>
  </si>
  <si>
    <t>Mercy Mwende</t>
  </si>
  <si>
    <t xml:space="preserve">Peris Nyaguthii </t>
  </si>
  <si>
    <t>Kamahohu in Tetu</t>
  </si>
  <si>
    <t>Isaiah Gwengi</t>
  </si>
  <si>
    <t>Linnet Onyango</t>
  </si>
  <si>
    <t>Elisha Ogolla a priest</t>
  </si>
  <si>
    <t>Mageta Island</t>
  </si>
  <si>
    <t>Siaya</t>
  </si>
  <si>
    <t>Lameck Baraza</t>
  </si>
  <si>
    <t>Valerie Apondi</t>
  </si>
  <si>
    <t>Collins Pluoch Ogweno</t>
  </si>
  <si>
    <t>Hacked</t>
  </si>
  <si>
    <t>Bondo town</t>
  </si>
  <si>
    <t>Nelcon Odhiambo</t>
  </si>
  <si>
    <t>Anne Owuor</t>
  </si>
  <si>
    <t>Hawinga village</t>
  </si>
  <si>
    <t>Maureen Aoko</t>
  </si>
  <si>
    <t>Siaya County</t>
  </si>
  <si>
    <t>Lucy Awuor</t>
  </si>
  <si>
    <t>domestic scuffle</t>
  </si>
  <si>
    <t>Acheo village of Kogelo</t>
  </si>
  <si>
    <t>Margaret Auma</t>
  </si>
  <si>
    <t>Denied to marry her</t>
  </si>
  <si>
    <t>Sinderma village</t>
  </si>
  <si>
    <t>George Amolo</t>
  </si>
  <si>
    <t>Jackline Akinyi</t>
  </si>
  <si>
    <t>Mohamed Oloo</t>
  </si>
  <si>
    <t>Wi-Omino village</t>
  </si>
  <si>
    <t>Sarah Owino</t>
  </si>
  <si>
    <t>Joshua Agano</t>
  </si>
  <si>
    <t>Kanyibok Village</t>
  </si>
  <si>
    <t xml:space="preserve"> Kassim Adinasi</t>
  </si>
  <si>
    <t>Caroline Akinyi</t>
  </si>
  <si>
    <t>Collins Oduor Onyango</t>
  </si>
  <si>
    <t>Ochieng B village in Ligega sub-location</t>
  </si>
  <si>
    <t>Renson Mnyamwezi</t>
  </si>
  <si>
    <t>Mwatate</t>
  </si>
  <si>
    <t>Taita Taveta</t>
  </si>
  <si>
    <t>Diana Mkandoe Maganga</t>
  </si>
  <si>
    <t>Wundanyi town</t>
  </si>
  <si>
    <t>Brian Ocharo And Lucy Mkanyika</t>
  </si>
  <si>
    <t>Miriam Awino</t>
  </si>
  <si>
    <t>Jeremiah Mwabiso</t>
  </si>
  <si>
    <t>Voi</t>
  </si>
  <si>
    <t>Solomon Muingi</t>
  </si>
  <si>
    <t>Teckla Shighadi</t>
  </si>
  <si>
    <t>Protus Nyangasera</t>
  </si>
  <si>
    <t>Mwanandunyi village</t>
  </si>
  <si>
    <t>Renson Mnyamwezi And Mkamburi Mwawasi</t>
  </si>
  <si>
    <t>Lushangonyi village</t>
  </si>
  <si>
    <t>Mary Mwamtungu</t>
  </si>
  <si>
    <t>Wundanyi</t>
  </si>
  <si>
    <t>Rabai Dumal Elema</t>
  </si>
  <si>
    <t>Vibao viwili village</t>
  </si>
  <si>
    <t>Tana River</t>
  </si>
  <si>
    <t>Alex Njeru</t>
  </si>
  <si>
    <t>Ann Kambura</t>
  </si>
  <si>
    <t>Kabuboni village</t>
  </si>
  <si>
    <t>Osinde Obare</t>
  </si>
  <si>
    <t>Agnes Chepkorir Kosgei</t>
  </si>
  <si>
    <t>Robin Oyori Osuma</t>
  </si>
  <si>
    <t>Siyoi village within Amuka location</t>
  </si>
  <si>
    <t>Scholastica Mmbihi</t>
  </si>
  <si>
    <t>Pst. Musa Wekesa</t>
  </si>
  <si>
    <t>Kitale</t>
  </si>
  <si>
    <t>Trans Nzoia</t>
  </si>
  <si>
    <t>Gerald Bwisa</t>
  </si>
  <si>
    <t>Alice Wangu Kamau</t>
  </si>
  <si>
    <t>Samson Kamau Njoroge</t>
  </si>
  <si>
    <t>Naisambu</t>
  </si>
  <si>
    <t>Aznath Kerubo</t>
  </si>
  <si>
    <t>Joah Marube</t>
  </si>
  <si>
    <t>Tondori village</t>
  </si>
  <si>
    <t>Esther Wangui</t>
  </si>
  <si>
    <t>Anthony Karanja</t>
  </si>
  <si>
    <t>Masaba B</t>
  </si>
  <si>
    <t>Babaton location</t>
  </si>
  <si>
    <t>Titus Ominde</t>
  </si>
  <si>
    <t>Fenny Bosibori</t>
  </si>
  <si>
    <t>Const. Bernard Ndege</t>
  </si>
  <si>
    <t>Soy police station</t>
  </si>
  <si>
    <t>Prisca Cheruto</t>
  </si>
  <si>
    <t>Daniel koech</t>
  </si>
  <si>
    <t>Soy Minning village</t>
  </si>
  <si>
    <t>Caren Chebet</t>
  </si>
  <si>
    <t>Stephen Kagumo</t>
  </si>
  <si>
    <t>Makung village</t>
  </si>
  <si>
    <t>Evans Jaola</t>
  </si>
  <si>
    <t>Nancy Chelimo</t>
  </si>
  <si>
    <t xml:space="preserve">Alex Chemwantei Cheroben </t>
  </si>
  <si>
    <t>mistrust in the relationship</t>
  </si>
  <si>
    <t>Nyakoingwana village</t>
  </si>
  <si>
    <t>By 
 Sammy Lutta</t>
  </si>
  <si>
    <t>Winnie Akimat</t>
  </si>
  <si>
    <t>Victor Ekal</t>
  </si>
  <si>
    <t>Juluok village</t>
  </si>
  <si>
    <t>Turkana</t>
  </si>
  <si>
    <t>Margaret Kobilo</t>
  </si>
  <si>
    <t>Agnes Cheronoi</t>
  </si>
  <si>
    <t>Chegilet village</t>
  </si>
  <si>
    <t>Uasin Gishu</t>
  </si>
  <si>
    <t>Esther Achieng</t>
  </si>
  <si>
    <t>David Amuoka</t>
  </si>
  <si>
    <t>Kahoya Estate</t>
  </si>
  <si>
    <t>Viverline Jemutai</t>
  </si>
  <si>
    <t>David Kipsang</t>
  </si>
  <si>
    <t>Eldoret town</t>
  </si>
  <si>
    <t>Fiona Kisuya</t>
  </si>
  <si>
    <t>David Siloba</t>
  </si>
  <si>
    <t>Vincent Achuka</t>
  </si>
  <si>
    <t>Ivy Wangechi</t>
  </si>
  <si>
    <t>Naftali Kinuthia</t>
  </si>
  <si>
    <t>Khanali Mwonobe</t>
  </si>
  <si>
    <t>Uasin Gishu County</t>
  </si>
  <si>
    <t>Gloria Jepleiting Sangutei</t>
  </si>
  <si>
    <t>Isaiah Samoei Kipchirchir</t>
  </si>
  <si>
    <t>Robina Moraa</t>
  </si>
  <si>
    <t>Emma Wanyota</t>
  </si>
  <si>
    <t>Mustafa Idd</t>
  </si>
  <si>
    <t>Moi's Bridge</t>
  </si>
  <si>
    <t>Staicy Achieng Nabiso</t>
  </si>
  <si>
    <t>Evans Juma Wanjala</t>
  </si>
  <si>
    <t>Soy</t>
  </si>
  <si>
    <t>Hilton Otenyo</t>
  </si>
  <si>
    <t>Diana Wekesa</t>
  </si>
  <si>
    <t>John Kuria</t>
  </si>
  <si>
    <t>Kolonget village</t>
  </si>
  <si>
    <t>Hilda Kosgei</t>
  </si>
  <si>
    <t>Douglas kipchumba</t>
  </si>
  <si>
    <t>Jessicah Nyaboke</t>
  </si>
  <si>
    <t>Stacy Chemutai</t>
  </si>
  <si>
    <t>Peter Kimulwo</t>
  </si>
  <si>
    <t>Sogomo centre</t>
  </si>
  <si>
    <t>Fred Kibor And Barnabas Bii</t>
  </si>
  <si>
    <t>Sheila Jepkemboi Kirwa</t>
  </si>
  <si>
    <t>Eliud Kipchoge</t>
  </si>
  <si>
    <t>argument during a drinking spree</t>
  </si>
  <si>
    <t>Kibolo village</t>
  </si>
  <si>
    <t>Mary Chesang</t>
  </si>
  <si>
    <t>Joseph Kibet</t>
  </si>
  <si>
    <t>Ngenyilele</t>
  </si>
  <si>
    <t>Derrick Luvega</t>
  </si>
  <si>
    <t>Sammy Muhanji</t>
  </si>
  <si>
    <t>Elukui village</t>
  </si>
  <si>
    <t>Vihiga</t>
  </si>
  <si>
    <t>Patrick Misiko and Christine Jerono</t>
  </si>
  <si>
    <t>Robbery</t>
  </si>
  <si>
    <t>Serem area</t>
  </si>
  <si>
    <t>Everline Achai</t>
  </si>
  <si>
    <t>James Mutonyi</t>
  </si>
  <si>
    <t xml:space="preserve">received information that his girlfriend was spotted with another man </t>
  </si>
  <si>
    <t>Ematunzi village</t>
  </si>
  <si>
    <t>Irissheel Shanzu</t>
  </si>
  <si>
    <t>Patrick Losimer</t>
  </si>
  <si>
    <t>Kaptabuk location</t>
  </si>
  <si>
    <t>West Pokot</t>
  </si>
  <si>
    <t>Maryann Chai</t>
  </si>
  <si>
    <t>Jimmy Njoroge</t>
  </si>
  <si>
    <t>Mawingo slum</t>
  </si>
  <si>
    <t xml:space="preserve"> Irissheel Shanzu</t>
  </si>
  <si>
    <t>Joseph Lokwang</t>
  </si>
  <si>
    <t>Family dispute</t>
  </si>
  <si>
    <t>Bendera area</t>
  </si>
  <si>
    <t>Makutano town</t>
  </si>
  <si>
    <t>Lydia Cheruiyot</t>
  </si>
  <si>
    <t>Vincent kibet</t>
  </si>
  <si>
    <t>Samich Primary School</t>
  </si>
  <si>
    <t xml:space="preserve">Irissheel Shanzu </t>
  </si>
  <si>
    <t xml:space="preserve">Sheila Cherop </t>
  </si>
  <si>
    <t>Francis Masinde</t>
  </si>
  <si>
    <t>Chebon Location.</t>
  </si>
  <si>
    <t>Ex-Husband</t>
  </si>
  <si>
    <t>Ex-Boyfriend</t>
  </si>
  <si>
    <t>suspect relationship</t>
  </si>
  <si>
    <t>Row Labels</t>
  </si>
  <si>
    <t>Grand Total</t>
  </si>
  <si>
    <t>Column Labels</t>
  </si>
  <si>
    <t>Count of name_of_victim</t>
  </si>
  <si>
    <t>6-16</t>
  </si>
  <si>
    <t>16-26</t>
  </si>
  <si>
    <t>26-36</t>
  </si>
  <si>
    <t>36-46</t>
  </si>
  <si>
    <t>46-56</t>
  </si>
  <si>
    <t>56-66</t>
  </si>
  <si>
    <t>66-76</t>
  </si>
  <si>
    <t>76-86</t>
  </si>
  <si>
    <t>86-96</t>
  </si>
  <si>
    <t>Count of type_of_murder</t>
  </si>
  <si>
    <t>Coast</t>
  </si>
  <si>
    <t>North Eastern</t>
  </si>
  <si>
    <t>Wajir</t>
  </si>
  <si>
    <t>Eastern</t>
  </si>
  <si>
    <t>Tharaka-Nithi</t>
  </si>
  <si>
    <t>Central</t>
  </si>
  <si>
    <t>Murang'a</t>
  </si>
  <si>
    <t>Rift Valley</t>
  </si>
  <si>
    <t>Samburu</t>
  </si>
  <si>
    <t>Western</t>
  </si>
  <si>
    <t>Nyanza</t>
  </si>
  <si>
    <t>Region</t>
  </si>
  <si>
    <t>County</t>
  </si>
  <si>
    <t>Count of Author Name</t>
  </si>
  <si>
    <t>&lt;01/01/2016</t>
  </si>
  <si>
    <t>2016</t>
  </si>
  <si>
    <t>2017</t>
  </si>
  <si>
    <t>2018</t>
  </si>
  <si>
    <t>2019</t>
  </si>
  <si>
    <t>2020</t>
  </si>
  <si>
    <t>2021</t>
  </si>
  <si>
    <t>2022</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</si>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</sst>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1F1F1F"/>
      <name val="Arial"/>
      <family val="2"/>
    </font>
    <font>
      <b/>
      <sz val="11"/>
      <color rgb="FF1F1F1F"/>
      <name val="Arial"/>
      <family val="2"/>
    </font>
  </fonts>
  <fills count="4">
    <fill>
      <patternFill patternType="none"/>
    </fill>
    <fill>
      <patternFill patternType="gray125"/>
    </fill>
    <fill>
      <patternFill patternType="solid">
        <fgColor theme="8" tint="0.39997558519241921"/>
        <bgColor indexed="64"/>
      </patternFill>
    </fill>
    <fill>
      <patternFill patternType="solid">
        <fgColor theme="0"/>
        <bgColor indexed="64"/>
      </patternFill>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14">
    <xf numFmtId="0" fontId="0" fillId="0" borderId="0" xfId="0"/>
    <xf numFmtId="0" fontId="0" fillId="2" borderId="0" xfId="0" applyFill="1"/>
    <xf numFmtId="14" fontId="0" fillId="2" borderId="0" xfId="0" applyNumberFormat="1" applyFill="1"/>
    <xf numFmtId="14" fontId="0" fillId="0" borderId="0" xfId="0" applyNumberFormat="1"/>
    <xf numFmtId="2" fontId="0" fillId="2" borderId="0" xfId="0" applyNumberFormat="1" applyFill="1"/>
    <xf numFmtId="2" fontId="0" fillId="0" borderId="0" xfId="0" applyNumberFormat="1"/>
    <xf numFmtId="1" fontId="0" fillId="2" borderId="0" xfId="0" applyNumberFormat="1" applyFill="1"/>
    <xf numFmtId="1" fontId="0" fillId="0" borderId="0" xfId="0" applyNumberFormat="1"/>
    <xf numFmtId="0" fontId="0" fillId="0" borderId="0" xfId="0" pivotButton="1"/>
    <xf numFmtId="0" fontId="0" fillId="0" borderId="0" xfId="0" applyAlignment="1">
      <alignment horizontal="left"/>
    </xf>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0" fillId="3" borderId="0" xfId="0" applyFill="1"/>
    <xf numFmtId="0" fontId="0" fillId="0" borderId="0" xfId="0" applyNumberFormat="1"/>
  </cellXfs>
  <cellStyles count="1">
    <cellStyle name="Normal" xfId="0" builtinId="0"/>
  </cellStyles>
  <dxfs count="21">
    <dxf>
      <numFmt numFmtId="0" formatCode="General"/>
    </dxf>
    <dxf>
      <numFmt numFmtId="0" formatCode="General"/>
    </dxf>
    <dxf>
      <numFmt numFmtId="1" formatCode="0"/>
    </dxf>
    <dxf>
      <numFmt numFmtId="1" formatCode="0"/>
    </dxf>
    <dxf>
      <numFmt numFmtId="1" formatCode="0"/>
    </dxf>
    <dxf>
      <numFmt numFmtId="1" formatCode="0"/>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 formatCode="0"/>
    </dxf>
    <dxf>
      <numFmt numFmtId="1" formatCode="0"/>
    </dxf>
    <dxf>
      <numFmt numFmtId="0" formatCode="General"/>
    </dxf>
    <dxf>
      <numFmt numFmtId="0" formatCode="General"/>
    </dxf>
    <dxf>
      <numFmt numFmtId="19" formatCode="dd/mm/yyyy"/>
    </dxf>
    <dxf>
      <numFmt numFmtId="19" formatCode="dd/mm/yyyy"/>
    </dxf>
    <dxf>
      <numFmt numFmtId="0" formatCode="General"/>
    </dxf>
    <dxf>
      <numFmt numFmtId="0" formatCode="General"/>
    </dxf>
    <dxf>
      <fill>
        <patternFill patternType="solid">
          <fgColor indexed="64"/>
          <bgColor theme="8"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[cleaned_kenyan_femicide_data.xlsx]number of victims by scene!PivotTable1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number of victims</a:t>
            </a:r>
            <a:r>
              <a:rPr lang="en-US" baseline="0"/>
              <a:t> by murder scene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'number of victims by scene'!$B$3</c:f>
              <c:strCache>
                <c:ptCount val="1"/>
                <c:pt idx="0">
                  <c:v>Total</c:v>
                </c:pt>
              </c:strCache>
            </c:strRef>
          </c:tx>
          <c:spPr>
            <a:solidFill>
              <a:schemeClr val="accent1"/>
            </a:solidFill>
            <a:ln>
              <a:noFill/>
            </a:ln>
            <a:effectLst/>
          </c:spPr>
          <c:invertIfNegative val="0"/>
          <c:cat>
            <c:strRef>
              <c:f>'number of victims by scene'!$A$4:$A$10</c:f>
              <c:strCache>
                <c:ptCount val="6"/>
                <c:pt idx="0">
                  <c:v>home</c:v>
                </c:pt>
                <c:pt idx="1">
                  <c:v>Not Provided</c:v>
                </c:pt>
                <c:pt idx="2">
                  <c:v>Other</c:v>
                </c:pt>
                <c:pt idx="3">
                  <c:v>Public Space</c:v>
                </c:pt>
                <c:pt idx="4">
                  <c:v>school</c:v>
                </c:pt>
                <c:pt idx="5">
                  <c:v>Workplace</c:v>
                </c:pt>
              </c:strCache>
            </c:strRef>
          </c:cat>
          <c:val>
            <c:numRef>
              <c:f>'number of victims by scene'!$B$4:$B$10</c:f>
              <c:numCache>
                <c:formatCode>General</c:formatCode>
                <c:ptCount val="6"/>
                <c:pt idx="0">
                  <c:v>298</c:v>
                </c:pt>
                <c:pt idx="1">
                  <c:v>6</c:v>
                </c:pt>
                <c:pt idx="2">
                  <c:v>10</c:v>
                </c:pt>
                <c:pt idx="3">
                  <c:v>79</c:v>
                </c:pt>
                <c:pt idx="4">
                  <c:v>3</c:v>
                </c:pt>
                <c:pt idx="5">
                  <c:v>2</c:v>
                </c:pt>
              </c:numCache>
            </c:numRef>
          </c:val>
          <c:extLst>
            <c:ext xmlns:c16="http://schemas.microsoft.com/office/drawing/2014/chart" uri="{C3380CC4-5D6E-409C-BE32-E72D297353CC}">
              <c16:uniqueId val="{00000000-6EF7-4432-B717-376146359749}"/>
            </c:ext>
          </c:extLst>
        </c:ser>
        <c:dLbls>
          <c:showLegendKey val="0"/>
          <c:showVal val="0"/>
          <c:showCatName val="0"/>
          <c:showSerName val="0"/>
          <c:showPercent val="0"/>
          <c:showBubbleSize val="0"/>
        </c:dLbls>
        <c:gapWidth val="219"/>
        <c:overlap val="-27"/>
        <c:axId val="2113776496"/>
        <c:axId val="2113772656"/>
      </c:barChart>
      <c:catAx>
        <c:axId val="211377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3772656"/>
        <c:crosses val="autoZero"/>
        <c:auto val="1"/>
        <c:lblAlgn val="ctr"/>
        <c:lblOffset val="100"/>
        <c:noMultiLvlLbl val="0"/>
      </c:catAx>
      <c:valAx>
        <c:axId val="211377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377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[cleaned_kenyan_femicide_data.xlsx]victims by type_relationship!PivotTable3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 number of victims</a:t>
            </a:r>
            <a:r>
              <a:rPr lang="nl-NL" baseline="0"/>
              <a:t> by the type of relationship with suspects</a:t>
            </a:r>
            <a:endParaRPr lang="nl-NL"/>
          </a:p>
        </c:rich>
      </c:tx>
      <c:layout>
        <c:manualLayout>
          <c:xMode val="edge"/>
          <c:yMode val="edge"/>
          <c:x val="0.1109582239720035"/>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'victims by type_relationship'!$B$3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305-41CB-A84C-1CDCFEAF4E8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305-41CB-A84C-1CDCFEAF4E8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305-41CB-A84C-1CDCFEAF4E8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305-41CB-A84C-1CDCFEAF4E8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305-41CB-A84C-1CDCFEAF4E8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305-41CB-A84C-1CDCFEAF4E8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305-41CB-A84C-1CDCFEAF4E8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305-41CB-A84C-1CDCFEAF4E8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305-41CB-A84C-1CDCFEAF4E87}"/>
              </c:ext>
            </c:extLst>
          </c:dPt>
          <c:cat>
            <c:strRef>
              <c:f>'victims by type_relationship'!$A$4:$A$12</c:f>
              <c:strCache>
                <c:ptCount val="8"/>
                <c:pt idx="0">
                  <c:v>Boyfriend</c:v>
                </c:pt>
                <c:pt idx="1">
                  <c:v>Ex-Boyfriend</c:v>
                </c:pt>
                <c:pt idx="2">
                  <c:v>Ex-Husband</c:v>
                </c:pt>
                <c:pt idx="3">
                  <c:v>Family Member</c:v>
                </c:pt>
                <c:pt idx="4">
                  <c:v>Friend</c:v>
                </c:pt>
                <c:pt idx="5">
                  <c:v>Husband</c:v>
                </c:pt>
                <c:pt idx="6">
                  <c:v>Not Provided</c:v>
                </c:pt>
                <c:pt idx="7">
                  <c:v>Stranger</c:v>
                </c:pt>
              </c:strCache>
            </c:strRef>
          </c:cat>
          <c:val>
            <c:numRef>
              <c:f>'victims by type_relationship'!$B$4:$B$12</c:f>
              <c:numCache>
                <c:formatCode>General</c:formatCode>
                <c:ptCount val="8"/>
                <c:pt idx="0">
                  <c:v>105</c:v>
                </c:pt>
                <c:pt idx="1">
                  <c:v>14</c:v>
                </c:pt>
                <c:pt idx="2">
                  <c:v>16</c:v>
                </c:pt>
                <c:pt idx="3">
                  <c:v>13</c:v>
                </c:pt>
                <c:pt idx="4">
                  <c:v>22</c:v>
                </c:pt>
                <c:pt idx="5">
                  <c:v>191</c:v>
                </c:pt>
                <c:pt idx="6">
                  <c:v>2</c:v>
                </c:pt>
                <c:pt idx="7">
                  <c:v>35</c:v>
                </c:pt>
              </c:numCache>
            </c:numRef>
          </c:val>
          <c:extLst>
            <c:ext xmlns:c16="http://schemas.microsoft.com/office/drawing/2014/chart" uri="{C3380CC4-5D6E-409C-BE32-E72D297353CC}">
              <c16:uniqueId val="{00000012-4305-41CB-A84C-1CDCFEAF4E8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[cleaned_kenyan_femicide_data.xlsx]femicide victims by region!PivotTable5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 number of femicide victims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'femicide victims by region'!$B$4</c:f>
              <c:strCache>
                <c:ptCount val="1"/>
                <c:pt idx="0">
                  <c:v>Total</c:v>
                </c:pt>
              </c:strCache>
            </c:strRef>
          </c:tx>
          <c:spPr>
            <a:solidFill>
              <a:schemeClr val="accent1"/>
            </a:solidFill>
            <a:ln>
              <a:noFill/>
            </a:ln>
            <a:effectLst/>
          </c:spPr>
          <c:invertIfNegative val="0"/>
          <c:cat>
            <c:strRef>
              <c:f>'femicide victims by region'!$A$5:$A$13</c:f>
              <c:strCache>
                <c:ptCount val="8"/>
                <c:pt idx="0">
                  <c:v>Central</c:v>
                </c:pt>
                <c:pt idx="1">
                  <c:v>Coast</c:v>
                </c:pt>
                <c:pt idx="2">
                  <c:v>Eastern</c:v>
                </c:pt>
                <c:pt idx="3">
                  <c:v>Nairobi</c:v>
                </c:pt>
                <c:pt idx="4">
                  <c:v>North Eastern</c:v>
                </c:pt>
                <c:pt idx="5">
                  <c:v>Nyanza</c:v>
                </c:pt>
                <c:pt idx="6">
                  <c:v>Rift Valley</c:v>
                </c:pt>
                <c:pt idx="7">
                  <c:v>Western</c:v>
                </c:pt>
              </c:strCache>
            </c:strRef>
          </c:cat>
          <c:val>
            <c:numRef>
              <c:f>'femicide victims by region'!$B$5:$B$13</c:f>
              <c:numCache>
                <c:formatCode>General</c:formatCode>
                <c:ptCount val="8"/>
                <c:pt idx="0">
                  <c:v>95</c:v>
                </c:pt>
                <c:pt idx="1">
                  <c:v>23</c:v>
                </c:pt>
                <c:pt idx="2">
                  <c:v>58</c:v>
                </c:pt>
                <c:pt idx="3">
                  <c:v>75</c:v>
                </c:pt>
                <c:pt idx="4">
                  <c:v>3</c:v>
                </c:pt>
                <c:pt idx="5">
                  <c:v>61</c:v>
                </c:pt>
                <c:pt idx="6">
                  <c:v>152</c:v>
                </c:pt>
                <c:pt idx="7">
                  <c:v>35</c:v>
                </c:pt>
              </c:numCache>
            </c:numRef>
          </c:val>
          <c:extLst>
            <c:ext xmlns:c16="http://schemas.microsoft.com/office/drawing/2014/chart" uri="{C3380CC4-5D6E-409C-BE32-E72D297353CC}">
              <c16:uniqueId val="{00000000-F77B-417B-9DB5-469608CE6C04}"/>
            </c:ext>
          </c:extLst>
        </c:ser>
        <c:dLbls>
          <c:showLegendKey val="0"/>
          <c:showVal val="0"/>
          <c:showCatName val="0"/>
          <c:showSerName val="0"/>
          <c:showPercent val="0"/>
          <c:showBubbleSize val="0"/>
        </c:dLbls>
        <c:gapWidth val="219"/>
        <c:overlap val="-27"/>
        <c:axId val="47354992"/>
        <c:axId val="47349712"/>
      </c:barChart>
      <c:catAx>
        <c:axId val="4735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7349712"/>
        <c:crosses val="autoZero"/>
        <c:auto val="1"/>
        <c:lblAlgn val="ctr"/>
        <c:lblOffset val="100"/>
        <c:noMultiLvlLbl val="0"/>
      </c:catAx>
      <c:valAx>
        <c:axId val="4734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735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[cleaned_kenyan_femicide_data.xlsx]verdict!PivotTable6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Verdict</a:t>
            </a:r>
            <a:r>
              <a:rPr lang="nl-NL" baseline="0"/>
              <a:t> reached in court</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verdict!$B$3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BCC-40EC-94C7-A9C5A671B7E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BCC-40EC-94C7-A9C5A671B7E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BCC-40EC-94C7-A9C5A671B7E4}"/>
              </c:ext>
            </c:extLst>
          </c:dPt>
          <c:cat>
            <c:strRef>
              <c:f>verdict!$A$4:$A$7</c:f>
              <c:strCache>
                <c:ptCount val="3"/>
                <c:pt idx="0">
                  <c:v>15 years</c:v>
                </c:pt>
                <c:pt idx="1">
                  <c:v>guilty</c:v>
                </c:pt>
                <c:pt idx="2">
                  <c:v>Not Guilty</c:v>
                </c:pt>
              </c:strCache>
            </c:strRef>
          </c:cat>
          <c:val>
            <c:numRef>
              <c:f>verdict!$B$4:$B$7</c:f>
              <c:numCache>
                <c:formatCode>General</c:formatCode>
                <c:ptCount val="3"/>
                <c:pt idx="0">
                  <c:v>1</c:v>
                </c:pt>
                <c:pt idx="1">
                  <c:v>32</c:v>
                </c:pt>
                <c:pt idx="2">
                  <c:v>3</c:v>
                </c:pt>
              </c:numCache>
            </c:numRef>
          </c:val>
          <c:extLst>
            <c:ext xmlns:c16="http://schemas.microsoft.com/office/drawing/2014/chart" uri="{C3380CC4-5D6E-409C-BE32-E72D297353CC}">
              <c16:uniqueId val="{00000006-4BCC-40EC-94C7-A9C5A671B7E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[cleaned_kenyan_femicide_data.xlsx]victims by mode of killing !PivotTable7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 number of victims by mode of killing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'victims by mode of killing '!$B$3</c:f>
              <c:strCache>
                <c:ptCount val="1"/>
                <c:pt idx="0">
                  <c:v>Total</c:v>
                </c:pt>
              </c:strCache>
            </c:strRef>
          </c:tx>
          <c:spPr>
            <a:solidFill>
              <a:schemeClr val="accent1"/>
            </a:solidFill>
            <a:ln>
              <a:noFill/>
            </a:ln>
            <a:effectLst/>
          </c:spPr>
          <c:invertIfNegative val="0"/>
          <c:cat>
            <c:strRef>
              <c:f>'victims by mode of killing '!$A$4:$A$13</c:f>
              <c:strCache>
                <c:ptCount val="9"/>
                <c:pt idx="0">
                  <c:v>blunt force</c:v>
                </c:pt>
                <c:pt idx="1">
                  <c:v>burned</c:v>
                </c:pt>
                <c:pt idx="2">
                  <c:v>hacked</c:v>
                </c:pt>
                <c:pt idx="3">
                  <c:v>Not Provided </c:v>
                </c:pt>
                <c:pt idx="4">
                  <c:v>other</c:v>
                </c:pt>
                <c:pt idx="5">
                  <c:v>sexual assault</c:v>
                </c:pt>
                <c:pt idx="6">
                  <c:v>shot</c:v>
                </c:pt>
                <c:pt idx="7">
                  <c:v>stabbed</c:v>
                </c:pt>
                <c:pt idx="8">
                  <c:v>Strangled</c:v>
                </c:pt>
              </c:strCache>
            </c:strRef>
          </c:cat>
          <c:val>
            <c:numRef>
              <c:f>'victims by mode of killing '!$B$4:$B$13</c:f>
              <c:numCache>
                <c:formatCode>General</c:formatCode>
                <c:ptCount val="9"/>
                <c:pt idx="0">
                  <c:v>76</c:v>
                </c:pt>
                <c:pt idx="1">
                  <c:v>13</c:v>
                </c:pt>
                <c:pt idx="2">
                  <c:v>67</c:v>
                </c:pt>
                <c:pt idx="3">
                  <c:v>65</c:v>
                </c:pt>
                <c:pt idx="4">
                  <c:v>14</c:v>
                </c:pt>
                <c:pt idx="5">
                  <c:v>18</c:v>
                </c:pt>
                <c:pt idx="6">
                  <c:v>31</c:v>
                </c:pt>
                <c:pt idx="7">
                  <c:v>154</c:v>
                </c:pt>
                <c:pt idx="8">
                  <c:v>64</c:v>
                </c:pt>
              </c:numCache>
            </c:numRef>
          </c:val>
          <c:extLst>
            <c:ext xmlns:c16="http://schemas.microsoft.com/office/drawing/2014/chart" uri="{C3380CC4-5D6E-409C-BE32-E72D297353CC}">
              <c16:uniqueId val="{00000000-DAD8-45A9-AB20-16B92223631A}"/>
            </c:ext>
          </c:extLst>
        </c:ser>
        <c:dLbls>
          <c:showLegendKey val="0"/>
          <c:showVal val="0"/>
          <c:showCatName val="0"/>
          <c:showSerName val="0"/>
          <c:showPercent val="0"/>
          <c:showBubbleSize val="0"/>
        </c:dLbls>
        <c:gapWidth val="219"/>
        <c:overlap val="-27"/>
        <c:axId val="2045256640"/>
        <c:axId val="2045254240"/>
      </c:barChart>
      <c:catAx>
        <c:axId val="204525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45254240"/>
        <c:crosses val="autoZero"/>
        <c:auto val="1"/>
        <c:lblAlgn val="ctr"/>
        <c:lblOffset val="100"/>
        <c:noMultiLvlLbl val="0"/>
      </c:catAx>
      <c:valAx>
        <c:axId val="204525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4525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[cleaned_kenyan_femicide_data.xlsx]total number of cases by publis!PivotTable1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femicide</a:t>
            </a:r>
            <a:r>
              <a:rPr lang="en-US" baseline="0"/>
              <a:t> by the date published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number of cases by publis'!$B$3</c:f>
              <c:strCache>
                <c:ptCount val="1"/>
                <c:pt idx="0">
                  <c:v>Total</c:v>
                </c:pt>
              </c:strCache>
            </c:strRef>
          </c:tx>
          <c:spPr>
            <a:ln w="28575" cap="rnd">
              <a:solidFill>
                <a:schemeClr val="accent1"/>
              </a:solidFill>
              <a:round/>
            </a:ln>
            <a:effectLst/>
          </c:spPr>
          <c:marker>
            <c:symbol val="none"/>
          </c:marker>
          <c:cat>
            <c:strRef>
              <c:f>'total number of cases by publis'!$A$4:$A$13</c:f>
              <c:strCache>
                <c:ptCount val="9"/>
                <c:pt idx="0">
                  <c:v>&lt;01/01/2016</c:v>
                </c:pt>
                <c:pt idx="1">
                  <c:v>2016</c:v>
                </c:pt>
                <c:pt idx="2">
                  <c:v>2017</c:v>
                </c:pt>
                <c:pt idx="3">
                  <c:v>2018</c:v>
                </c:pt>
                <c:pt idx="4">
                  <c:v>2019</c:v>
                </c:pt>
                <c:pt idx="5">
                  <c:v>2020</c:v>
                </c:pt>
                <c:pt idx="6">
                  <c:v>2021</c:v>
                </c:pt>
                <c:pt idx="7">
                  <c:v>2022</c:v>
                </c:pt>
                <c:pt idx="8">
                  <c:v>2023</c:v>
                </c:pt>
              </c:strCache>
            </c:strRef>
          </c:cat>
          <c:val>
            <c:numRef>
              <c:f>'total number of cases by publis'!$B$4:$B$13</c:f>
              <c:numCache>
                <c:formatCode>General</c:formatCode>
                <c:ptCount val="9"/>
                <c:pt idx="0">
                  <c:v>38</c:v>
                </c:pt>
                <c:pt idx="1">
                  <c:v>23</c:v>
                </c:pt>
                <c:pt idx="2">
                  <c:v>48</c:v>
                </c:pt>
                <c:pt idx="3">
                  <c:v>95</c:v>
                </c:pt>
                <c:pt idx="4">
                  <c:v>49</c:v>
                </c:pt>
                <c:pt idx="5">
                  <c:v>54</c:v>
                </c:pt>
                <c:pt idx="6">
                  <c:v>76</c:v>
                </c:pt>
                <c:pt idx="7">
                  <c:v>44</c:v>
                </c:pt>
                <c:pt idx="8">
                  <c:v>75</c:v>
                </c:pt>
              </c:numCache>
            </c:numRef>
          </c:val>
          <c:smooth val="0"/>
          <c:extLst>
            <c:ext xmlns:c16="http://schemas.microsoft.com/office/drawing/2014/chart" uri="{C3380CC4-5D6E-409C-BE32-E72D297353CC}">
              <c16:uniqueId val="{00000000-B7D4-4B5E-8653-DA0F1D0E9727}"/>
            </c:ext>
          </c:extLst>
        </c:ser>
        <c:dLbls>
          <c:showLegendKey val="0"/>
          <c:showVal val="0"/>
          <c:showCatName val="0"/>
          <c:showSerName val="0"/>
          <c:showPercent val="0"/>
          <c:showBubbleSize val="0"/>
        </c:dLbls>
        <c:smooth val="0"/>
        <c:axId val="1422208367"/>
        <c:axId val="1422220847"/>
      </c:lineChart>
      <c:catAx>
        <c:axId val="142220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22220847"/>
        <c:crosses val="autoZero"/>
        <c:auto val="1"/>
        <c:lblAlgn val="ctr"/>
        <c:lblOffset val="100"/>
        <c:noMultiLvlLbl val="0"/>
      </c:catAx>
      <c:valAx>
        <c:axId val="142222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2220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[cleaned_kenyan_femicide_data.xlsx]victims by age &amp; type of femici!PivotTable1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a:t>
            </a:r>
            <a:r>
              <a:rPr lang="nl-NL" baseline="0"/>
              <a:t> Number of victims according to age  and type of femicide</a:t>
            </a:r>
          </a:p>
          <a:p>
            <a:pPr>
              <a:defRPr/>
            </a:pP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'victims by age &amp; type of femici'!$B$3:$B$4</c:f>
              <c:strCache>
                <c:ptCount val="1"/>
                <c:pt idx="0">
                  <c:v>Intimate</c:v>
                </c:pt>
              </c:strCache>
            </c:strRef>
          </c:tx>
          <c:spPr>
            <a:solidFill>
              <a:schemeClr val="accent1"/>
            </a:solidFill>
            <a:ln>
              <a:noFill/>
            </a:ln>
            <a:effectLst/>
          </c:spPr>
          <c:invertIfNegative val="0"/>
          <c:cat>
            <c:strRef>
              <c:f>'victims by age &amp; type of femici'!$A$5:$A$14</c:f>
              <c:strCache>
                <c:ptCount val="9"/>
                <c:pt idx="0">
                  <c:v>6-16</c:v>
                </c:pt>
                <c:pt idx="1">
                  <c:v>16-26</c:v>
                </c:pt>
                <c:pt idx="2">
                  <c:v>26-36</c:v>
                </c:pt>
                <c:pt idx="3">
                  <c:v>36-46</c:v>
                </c:pt>
                <c:pt idx="4">
                  <c:v>46-56</c:v>
                </c:pt>
                <c:pt idx="5">
                  <c:v>56-66</c:v>
                </c:pt>
                <c:pt idx="6">
                  <c:v>66-76</c:v>
                </c:pt>
                <c:pt idx="7">
                  <c:v>76-86</c:v>
                </c:pt>
                <c:pt idx="8">
                  <c:v>86-96</c:v>
                </c:pt>
              </c:strCache>
            </c:strRef>
          </c:cat>
          <c:val>
            <c:numRef>
              <c:f>'victims by age &amp; type of femici'!$B$5:$B$14</c:f>
              <c:numCache>
                <c:formatCode>General</c:formatCode>
                <c:ptCount val="9"/>
                <c:pt idx="0">
                  <c:v>1</c:v>
                </c:pt>
                <c:pt idx="1">
                  <c:v>69</c:v>
                </c:pt>
                <c:pt idx="2">
                  <c:v>75</c:v>
                </c:pt>
                <c:pt idx="3">
                  <c:v>35</c:v>
                </c:pt>
                <c:pt idx="4">
                  <c:v>9</c:v>
                </c:pt>
                <c:pt idx="5">
                  <c:v>2</c:v>
                </c:pt>
                <c:pt idx="6">
                  <c:v>1</c:v>
                </c:pt>
              </c:numCache>
            </c:numRef>
          </c:val>
          <c:extLst>
            <c:ext xmlns:c16="http://schemas.microsoft.com/office/drawing/2014/chart" uri="{C3380CC4-5D6E-409C-BE32-E72D297353CC}">
              <c16:uniqueId val="{00000000-08AF-446D-BFA3-AD38F8B250A2}"/>
            </c:ext>
          </c:extLst>
        </c:ser>
        <c:ser>
          <c:idx val="1"/>
          <c:order val="1"/>
          <c:tx>
            <c:strRef>
              <c:f>'victims by age &amp; type of femici'!$C$3:$C$4</c:f>
              <c:strCache>
                <c:ptCount val="1"/>
                <c:pt idx="0">
                  <c:v>Non-intimate</c:v>
                </c:pt>
              </c:strCache>
            </c:strRef>
          </c:tx>
          <c:spPr>
            <a:solidFill>
              <a:schemeClr val="accent2"/>
            </a:solidFill>
            <a:ln>
              <a:noFill/>
            </a:ln>
            <a:effectLst/>
          </c:spPr>
          <c:invertIfNegative val="0"/>
          <c:cat>
            <c:strRef>
              <c:f>'victims by age &amp; type of femici'!$A$5:$A$14</c:f>
              <c:strCache>
                <c:ptCount val="9"/>
                <c:pt idx="0">
                  <c:v>6-16</c:v>
                </c:pt>
                <c:pt idx="1">
                  <c:v>16-26</c:v>
                </c:pt>
                <c:pt idx="2">
                  <c:v>26-36</c:v>
                </c:pt>
                <c:pt idx="3">
                  <c:v>36-46</c:v>
                </c:pt>
                <c:pt idx="4">
                  <c:v>46-56</c:v>
                </c:pt>
                <c:pt idx="5">
                  <c:v>56-66</c:v>
                </c:pt>
                <c:pt idx="6">
                  <c:v>66-76</c:v>
                </c:pt>
                <c:pt idx="7">
                  <c:v>76-86</c:v>
                </c:pt>
                <c:pt idx="8">
                  <c:v>86-96</c:v>
                </c:pt>
              </c:strCache>
            </c:strRef>
          </c:cat>
          <c:val>
            <c:numRef>
              <c:f>'victims by age &amp; type of femici'!$C$5:$C$14</c:f>
              <c:numCache>
                <c:formatCode>General</c:formatCode>
                <c:ptCount val="9"/>
                <c:pt idx="0">
                  <c:v>8</c:v>
                </c:pt>
                <c:pt idx="1">
                  <c:v>13</c:v>
                </c:pt>
                <c:pt idx="2">
                  <c:v>6</c:v>
                </c:pt>
                <c:pt idx="3">
                  <c:v>4</c:v>
                </c:pt>
                <c:pt idx="5">
                  <c:v>3</c:v>
                </c:pt>
                <c:pt idx="6">
                  <c:v>5</c:v>
                </c:pt>
                <c:pt idx="7">
                  <c:v>6</c:v>
                </c:pt>
                <c:pt idx="8">
                  <c:v>2</c:v>
                </c:pt>
              </c:numCache>
            </c:numRef>
          </c:val>
          <c:extLst>
            <c:ext xmlns:c16="http://schemas.microsoft.com/office/drawing/2014/chart" uri="{C3380CC4-5D6E-409C-BE32-E72D297353CC}">
              <c16:uniqueId val="{00000001-EA4B-4B8D-B105-60499873DE5F}"/>
            </c:ext>
          </c:extLst>
        </c:ser>
        <c:dLbls>
          <c:showLegendKey val="0"/>
          <c:showVal val="0"/>
          <c:showCatName val="0"/>
          <c:showSerName val="0"/>
          <c:showPercent val="0"/>
          <c:showBubbleSize val="0"/>
        </c:dLbls>
        <c:gapWidth val="219"/>
        <c:overlap val="-27"/>
        <c:axId val="778351087"/>
        <c:axId val="778348207"/>
      </c:barChart>
      <c:catAx>
        <c:axId val="77835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78348207"/>
        <c:crosses val="autoZero"/>
        <c:auto val="1"/>
        <c:lblAlgn val="ctr"/>
        <c:lblOffset val="100"/>
        <c:noMultiLvlLbl val="0"/>
      </c:catAx>
      <c:valAx>
        <c:axId val="77834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7835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[cleaned_kenyan_femicide_data.xlsx]number of victims by scene!PivotTable1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number of victims</a:t>
            </a:r>
            <a:r>
              <a:rPr lang="en-US" baseline="0"/>
              <a:t> by murder scene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'number of victims by scene'!$B$3</c:f>
              <c:strCache>
                <c:ptCount val="1"/>
                <c:pt idx="0">
                  <c:v>Total</c:v>
                </c:pt>
              </c:strCache>
            </c:strRef>
          </c:tx>
          <c:spPr>
            <a:solidFill>
              <a:schemeClr val="accent1"/>
            </a:solidFill>
            <a:ln>
              <a:noFill/>
            </a:ln>
            <a:effectLst/>
          </c:spPr>
          <c:invertIfNegative val="0"/>
          <c:cat>
            <c:strRef>
              <c:f>'number of victims by scene'!$A$4:$A$10</c:f>
              <c:strCache>
                <c:ptCount val="6"/>
                <c:pt idx="0">
                  <c:v>home</c:v>
                </c:pt>
                <c:pt idx="1">
                  <c:v>Not Provided</c:v>
                </c:pt>
                <c:pt idx="2">
                  <c:v>Other</c:v>
                </c:pt>
                <c:pt idx="3">
                  <c:v>Public Space</c:v>
                </c:pt>
                <c:pt idx="4">
                  <c:v>school</c:v>
                </c:pt>
                <c:pt idx="5">
                  <c:v>Workplace</c:v>
                </c:pt>
              </c:strCache>
            </c:strRef>
          </c:cat>
          <c:val>
            <c:numRef>
              <c:f>'number of victims by scene'!$B$4:$B$10</c:f>
              <c:numCache>
                <c:formatCode>General</c:formatCode>
                <c:ptCount val="6"/>
                <c:pt idx="0">
                  <c:v>298</c:v>
                </c:pt>
                <c:pt idx="1">
                  <c:v>6</c:v>
                </c:pt>
                <c:pt idx="2">
                  <c:v>10</c:v>
                </c:pt>
                <c:pt idx="3">
                  <c:v>79</c:v>
                </c:pt>
                <c:pt idx="4">
                  <c:v>3</c:v>
                </c:pt>
                <c:pt idx="5">
                  <c:v>2</c:v>
                </c:pt>
              </c:numCache>
            </c:numRef>
          </c:val>
          <c:extLst>
            <c:ext xmlns:c16="http://schemas.microsoft.com/office/drawing/2014/chart" uri="{C3380CC4-5D6E-409C-BE32-E72D297353CC}">
              <c16:uniqueId val="{00000000-B41A-43C7-B999-93CA5E3784E0}"/>
            </c:ext>
          </c:extLst>
        </c:ser>
        <c:dLbls>
          <c:showLegendKey val="0"/>
          <c:showVal val="0"/>
          <c:showCatName val="0"/>
          <c:showSerName val="0"/>
          <c:showPercent val="0"/>
          <c:showBubbleSize val="0"/>
        </c:dLbls>
        <c:gapWidth val="219"/>
        <c:overlap val="-27"/>
        <c:axId val="2113776496"/>
        <c:axId val="2113772656"/>
      </c:barChart>
      <c:catAx>
        <c:axId val="211377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3772656"/>
        <c:crosses val="autoZero"/>
        <c:auto val="1"/>
        <c:lblAlgn val="ctr"/>
        <c:lblOffset val="100"/>
        <c:noMultiLvlLbl val="0"/>
      </c:catAx>
      <c:valAx>
        <c:axId val="211377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377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[cleaned_kenyan_femicide_data.xlsx]number of victims by scene!PivotTable1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number of victims by murder scene</a:t>
            </a:r>
          </a:p>
        </c:rich>
      </c:tx>
      <c:layout>
        <c:manualLayout>
          <c:xMode val="edge"/>
          <c:yMode val="edge"/>
          <c:x val="0.14727777777777781"/>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'number of victims by scene'!$B$3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4D-4088-9097-E68212881C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4D-4088-9097-E68212881C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4D-4088-9097-E68212881C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4D-4088-9097-E68212881C3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94D-4088-9097-E68212881C31}"/>
              </c:ext>
            </c:extLst>
          </c:dPt>
          <c:dPt>
            <c:idx val="5"/>
            <c:bubble3D val="0"/>
            <c:spPr>
              <a:solidFill>
                <a:schemeClr val="accent6"/>
              </a:solidFill>
              <a:ln w="19050">
                <a:solidFill>
                  <a:schemeClr val="lt1"/>
                </a:solidFill>
              </a:ln>
              <a:effectLst/>
            </c:spPr>
          </c:dPt>
          <c:cat>
            <c:strRef>
              <c:f>'number of victims by scene'!$A$4:$A$10</c:f>
              <c:strCache>
                <c:ptCount val="6"/>
                <c:pt idx="0">
                  <c:v>home</c:v>
                </c:pt>
                <c:pt idx="1">
                  <c:v>Not Provided</c:v>
                </c:pt>
                <c:pt idx="2">
                  <c:v>Other</c:v>
                </c:pt>
                <c:pt idx="3">
                  <c:v>Public Space</c:v>
                </c:pt>
                <c:pt idx="4">
                  <c:v>school</c:v>
                </c:pt>
                <c:pt idx="5">
                  <c:v>Workplace</c:v>
                </c:pt>
              </c:strCache>
            </c:strRef>
          </c:cat>
          <c:val>
            <c:numRef>
              <c:f>'number of victims by scene'!$B$4:$B$10</c:f>
              <c:numCache>
                <c:formatCode>General</c:formatCode>
                <c:ptCount val="6"/>
                <c:pt idx="0">
                  <c:v>298</c:v>
                </c:pt>
                <c:pt idx="1">
                  <c:v>6</c:v>
                </c:pt>
                <c:pt idx="2">
                  <c:v>10</c:v>
                </c:pt>
                <c:pt idx="3">
                  <c:v>79</c:v>
                </c:pt>
                <c:pt idx="4">
                  <c:v>3</c:v>
                </c:pt>
                <c:pt idx="5">
                  <c:v>2</c:v>
                </c:pt>
              </c:numCache>
            </c:numRef>
          </c:val>
          <c:extLst>
            <c:ext xmlns:c16="http://schemas.microsoft.com/office/drawing/2014/chart" uri="{C3380CC4-5D6E-409C-BE32-E72D297353CC}">
              <c16:uniqueId val="{00000000-8FCA-49B1-9D94-F6949FAB0D9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[cleaned_kenyan_femicide_data.xlsx]victims by circumstances!PivotTable2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 number of victims</a:t>
            </a:r>
            <a:r>
              <a:rPr lang="nl-NL" baseline="0"/>
              <a:t> by  circumstance to there death</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'victims by circumstances'!$B$3</c:f>
              <c:strCache>
                <c:ptCount val="1"/>
                <c:pt idx="0">
                  <c:v>Total</c:v>
                </c:pt>
              </c:strCache>
            </c:strRef>
          </c:tx>
          <c:spPr>
            <a:solidFill>
              <a:schemeClr val="accent1"/>
            </a:solidFill>
            <a:ln>
              <a:noFill/>
            </a:ln>
            <a:effectLst/>
          </c:spPr>
          <c:invertIfNegative val="0"/>
          <c:cat>
            <c:strRef>
              <c:f>'victims by circumstances'!$A$4:$A$45</c:f>
              <c:strCache>
                <c:ptCount val="41"/>
                <c:pt idx="0">
                  <c:v>Accused of infidelity</c:v>
                </c:pt>
                <c:pt idx="1">
                  <c:v>altercation </c:v>
                </c:pt>
                <c:pt idx="2">
                  <c:v>angered he could not marry her because they were relatives</c:v>
                </c:pt>
                <c:pt idx="3">
                  <c:v>Argument</c:v>
                </c:pt>
                <c:pt idx="4">
                  <c:v>argument during a drinking spree</c:v>
                </c:pt>
                <c:pt idx="5">
                  <c:v>breakup</c:v>
                </c:pt>
                <c:pt idx="6">
                  <c:v>deceived her by claiming to have found her lost phone</c:v>
                </c:pt>
                <c:pt idx="7">
                  <c:v>denied conjugal rights</c:v>
                </c:pt>
                <c:pt idx="8">
                  <c:v>denied him access to the Sh11,500 monthly support from Red Cross Society </c:v>
                </c:pt>
                <c:pt idx="9">
                  <c:v>Denied sex</c:v>
                </c:pt>
                <c:pt idx="10">
                  <c:v>Denied to marry her</c:v>
                </c:pt>
                <c:pt idx="11">
                  <c:v>Denying him conjugal rights</c:v>
                </c:pt>
                <c:pt idx="12">
                  <c:v>divorce</c:v>
                </c:pt>
                <c:pt idx="13">
                  <c:v>divorce/separation</c:v>
                </c:pt>
                <c:pt idx="14">
                  <c:v>domestic argument</c:v>
                </c:pt>
                <c:pt idx="15">
                  <c:v>domestic fight</c:v>
                </c:pt>
                <c:pt idx="16">
                  <c:v>Domestic quarrel</c:v>
                </c:pt>
                <c:pt idx="17">
                  <c:v>domestic quarrel over shopping money</c:v>
                </c:pt>
                <c:pt idx="18">
                  <c:v>domestic scuffle</c:v>
                </c:pt>
                <c:pt idx="19">
                  <c:v>Domestic wrangle</c:v>
                </c:pt>
                <c:pt idx="20">
                  <c:v>Drunk</c:v>
                </c:pt>
                <c:pt idx="21">
                  <c:v>Family dispute</c:v>
                </c:pt>
                <c:pt idx="22">
                  <c:v>found her in the company of another man, a fight broke out</c:v>
                </c:pt>
                <c:pt idx="23">
                  <c:v>jealousy</c:v>
                </c:pt>
                <c:pt idx="24">
                  <c:v>love gone sour</c:v>
                </c:pt>
                <c:pt idx="25">
                  <c:v>man claimed that his wife was having extramarital affairs</c:v>
                </c:pt>
                <c:pt idx="26">
                  <c:v>mistrust in the relationship</c:v>
                </c:pt>
                <c:pt idx="27">
                  <c:v>Others</c:v>
                </c:pt>
                <c:pt idx="28">
                  <c:v>payment disagreement</c:v>
                </c:pt>
                <c:pt idx="29">
                  <c:v>Quarrel</c:v>
                </c:pt>
                <c:pt idx="30">
                  <c:v>quarrel over sale of beans.</c:v>
                </c:pt>
                <c:pt idx="31">
                  <c:v>quarrelling over a plate of food</c:v>
                </c:pt>
                <c:pt idx="32">
                  <c:v>received information that his girlfriend was spotted with another man </c:v>
                </c:pt>
                <c:pt idx="33">
                  <c:v>Robbery</c:v>
                </c:pt>
                <c:pt idx="34">
                  <c:v>The rider made further advances and, when ignored, brandished a knife, </c:v>
                </c:pt>
                <c:pt idx="35">
                  <c:v>the two were heard arguing about bhang proceeds</c:v>
                </c:pt>
                <c:pt idx="36">
                  <c:v>threatening to walk away and quit the marriage</c:v>
                </c:pt>
                <c:pt idx="37">
                  <c:v>unkown</c:v>
                </c:pt>
                <c:pt idx="38">
                  <c:v>upset by his wifeâ€™s action to ditch him over constant threats to her life.</c:v>
                </c:pt>
                <c:pt idx="39">
                  <c:v>wealth possesion</c:v>
                </c:pt>
                <c:pt idx="40">
                  <c:v>Woman dumped him</c:v>
                </c:pt>
              </c:strCache>
            </c:strRef>
          </c:cat>
          <c:val>
            <c:numRef>
              <c:f>'victims by circumstances'!$B$4:$B$45</c:f>
              <c:numCache>
                <c:formatCode>General</c:formatCode>
                <c:ptCount val="41"/>
                <c:pt idx="0">
                  <c:v>1</c:v>
                </c:pt>
                <c:pt idx="1">
                  <c:v>1</c:v>
                </c:pt>
                <c:pt idx="2">
                  <c:v>1</c:v>
                </c:pt>
                <c:pt idx="3">
                  <c:v>156</c:v>
                </c:pt>
                <c:pt idx="4">
                  <c:v>1</c:v>
                </c:pt>
                <c:pt idx="5">
                  <c:v>13</c:v>
                </c:pt>
                <c:pt idx="6">
                  <c:v>1</c:v>
                </c:pt>
                <c:pt idx="7">
                  <c:v>1</c:v>
                </c:pt>
                <c:pt idx="8">
                  <c:v>1</c:v>
                </c:pt>
                <c:pt idx="9">
                  <c:v>2</c:v>
                </c:pt>
                <c:pt idx="10">
                  <c:v>1</c:v>
                </c:pt>
                <c:pt idx="11">
                  <c:v>1</c:v>
                </c:pt>
                <c:pt idx="12">
                  <c:v>2</c:v>
                </c:pt>
                <c:pt idx="13">
                  <c:v>1</c:v>
                </c:pt>
                <c:pt idx="14">
                  <c:v>1</c:v>
                </c:pt>
                <c:pt idx="15">
                  <c:v>1</c:v>
                </c:pt>
                <c:pt idx="16">
                  <c:v>2</c:v>
                </c:pt>
                <c:pt idx="17">
                  <c:v>1</c:v>
                </c:pt>
                <c:pt idx="18">
                  <c:v>1</c:v>
                </c:pt>
                <c:pt idx="19">
                  <c:v>1</c:v>
                </c:pt>
                <c:pt idx="20">
                  <c:v>5</c:v>
                </c:pt>
                <c:pt idx="21">
                  <c:v>1</c:v>
                </c:pt>
                <c:pt idx="22">
                  <c:v>1</c:v>
                </c:pt>
                <c:pt idx="23">
                  <c:v>50</c:v>
                </c:pt>
                <c:pt idx="24">
                  <c:v>1</c:v>
                </c:pt>
                <c:pt idx="25">
                  <c:v>1</c:v>
                </c:pt>
                <c:pt idx="26">
                  <c:v>1</c:v>
                </c:pt>
                <c:pt idx="27">
                  <c:v>5</c:v>
                </c:pt>
                <c:pt idx="28">
                  <c:v>1</c:v>
                </c:pt>
                <c:pt idx="29">
                  <c:v>6</c:v>
                </c:pt>
                <c:pt idx="30">
                  <c:v>1</c:v>
                </c:pt>
                <c:pt idx="31">
                  <c:v>1</c:v>
                </c:pt>
                <c:pt idx="32">
                  <c:v>1</c:v>
                </c:pt>
                <c:pt idx="33">
                  <c:v>1</c:v>
                </c:pt>
                <c:pt idx="34">
                  <c:v>1</c:v>
                </c:pt>
                <c:pt idx="35">
                  <c:v>1</c:v>
                </c:pt>
                <c:pt idx="36">
                  <c:v>1</c:v>
                </c:pt>
                <c:pt idx="37">
                  <c:v>2</c:v>
                </c:pt>
                <c:pt idx="38">
                  <c:v>1</c:v>
                </c:pt>
                <c:pt idx="39">
                  <c:v>1</c:v>
                </c:pt>
                <c:pt idx="40">
                  <c:v>1</c:v>
                </c:pt>
              </c:numCache>
            </c:numRef>
          </c:val>
          <c:extLst>
            <c:ext xmlns:c16="http://schemas.microsoft.com/office/drawing/2014/chart" uri="{C3380CC4-5D6E-409C-BE32-E72D297353CC}">
              <c16:uniqueId val="{00000000-52A0-4D1C-BA5A-B0CD1C823F30}"/>
            </c:ext>
          </c:extLst>
        </c:ser>
        <c:dLbls>
          <c:showLegendKey val="0"/>
          <c:showVal val="0"/>
          <c:showCatName val="0"/>
          <c:showSerName val="0"/>
          <c:showPercent val="0"/>
          <c:showBubbleSize val="0"/>
        </c:dLbls>
        <c:gapWidth val="219"/>
        <c:overlap val="-27"/>
        <c:axId val="586849376"/>
        <c:axId val="586847456"/>
      </c:barChart>
      <c:catAx>
        <c:axId val="58684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6847456"/>
        <c:crosses val="autoZero"/>
        <c:auto val="1"/>
        <c:lblAlgn val="ctr"/>
        <c:lblOffset val="100"/>
        <c:noMultiLvlLbl val="0"/>
      </c:catAx>
      <c:valAx>
        <c:axId val="58684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684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[cleaned_kenyan_femicide_data.xlsx]victims by type_relationship!PivotTable3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 number of victims</a:t>
            </a:r>
            <a:r>
              <a:rPr lang="nl-NL" baseline="0"/>
              <a:t> by the type of relationship with suspects</a:t>
            </a:r>
            <a:endParaRPr lang="nl-NL"/>
          </a:p>
        </c:rich>
      </c:tx>
      <c:layout>
        <c:manualLayout>
          <c:xMode val="edge"/>
          <c:yMode val="edge"/>
          <c:x val="0.1109582239720035"/>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'victims by type_relationship'!$B$3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5F4-46CC-AB6F-0053C131CB8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5F4-46CC-AB6F-0053C131CB8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5F4-46CC-AB6F-0053C131CB8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5F4-46CC-AB6F-0053C131CB8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5F4-46CC-AB6F-0053C131CB8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5F4-46CC-AB6F-0053C131CB8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35F4-46CC-AB6F-0053C131CB8B}"/>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35F4-46CC-AB6F-0053C131CB8B}"/>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35F4-46CC-AB6F-0053C131CB8B}"/>
              </c:ext>
            </c:extLst>
          </c:dPt>
          <c:cat>
            <c:strRef>
              <c:f>'victims by type_relationship'!$A$4:$A$12</c:f>
              <c:strCache>
                <c:ptCount val="8"/>
                <c:pt idx="0">
                  <c:v>Boyfriend</c:v>
                </c:pt>
                <c:pt idx="1">
                  <c:v>Ex-Boyfriend</c:v>
                </c:pt>
                <c:pt idx="2">
                  <c:v>Ex-Husband</c:v>
                </c:pt>
                <c:pt idx="3">
                  <c:v>Family Member</c:v>
                </c:pt>
                <c:pt idx="4">
                  <c:v>Friend</c:v>
                </c:pt>
                <c:pt idx="5">
                  <c:v>Husband</c:v>
                </c:pt>
                <c:pt idx="6">
                  <c:v>Not Provided</c:v>
                </c:pt>
                <c:pt idx="7">
                  <c:v>Stranger</c:v>
                </c:pt>
              </c:strCache>
            </c:strRef>
          </c:cat>
          <c:val>
            <c:numRef>
              <c:f>'victims by type_relationship'!$B$4:$B$12</c:f>
              <c:numCache>
                <c:formatCode>General</c:formatCode>
                <c:ptCount val="8"/>
                <c:pt idx="0">
                  <c:v>105</c:v>
                </c:pt>
                <c:pt idx="1">
                  <c:v>14</c:v>
                </c:pt>
                <c:pt idx="2">
                  <c:v>16</c:v>
                </c:pt>
                <c:pt idx="3">
                  <c:v>13</c:v>
                </c:pt>
                <c:pt idx="4">
                  <c:v>22</c:v>
                </c:pt>
                <c:pt idx="5">
                  <c:v>191</c:v>
                </c:pt>
                <c:pt idx="6">
                  <c:v>2</c:v>
                </c:pt>
                <c:pt idx="7">
                  <c:v>35</c:v>
                </c:pt>
              </c:numCache>
            </c:numRef>
          </c:val>
          <c:extLst>
            <c:ext xmlns:c16="http://schemas.microsoft.com/office/drawing/2014/chart" uri="{C3380CC4-5D6E-409C-BE32-E72D297353CC}">
              <c16:uniqueId val="{00000000-3CD7-408F-8A8E-30F62A857D1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[cleaned_kenyan_femicide_data.xlsx]femicide victims by region!PivotTable5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 number of femicide victims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'femicide victims by region'!$B$4</c:f>
              <c:strCache>
                <c:ptCount val="1"/>
                <c:pt idx="0">
                  <c:v>Total</c:v>
                </c:pt>
              </c:strCache>
            </c:strRef>
          </c:tx>
          <c:spPr>
            <a:solidFill>
              <a:schemeClr val="accent1"/>
            </a:solidFill>
            <a:ln>
              <a:noFill/>
            </a:ln>
            <a:effectLst/>
          </c:spPr>
          <c:invertIfNegative val="0"/>
          <c:cat>
            <c:strRef>
              <c:f>'femicide victims by region'!$A$5:$A$13</c:f>
              <c:strCache>
                <c:ptCount val="8"/>
                <c:pt idx="0">
                  <c:v>Central</c:v>
                </c:pt>
                <c:pt idx="1">
                  <c:v>Coast</c:v>
                </c:pt>
                <c:pt idx="2">
                  <c:v>Eastern</c:v>
                </c:pt>
                <c:pt idx="3">
                  <c:v>Nairobi</c:v>
                </c:pt>
                <c:pt idx="4">
                  <c:v>North Eastern</c:v>
                </c:pt>
                <c:pt idx="5">
                  <c:v>Nyanza</c:v>
                </c:pt>
                <c:pt idx="6">
                  <c:v>Rift Valley</c:v>
                </c:pt>
                <c:pt idx="7">
                  <c:v>Western</c:v>
                </c:pt>
              </c:strCache>
            </c:strRef>
          </c:cat>
          <c:val>
            <c:numRef>
              <c:f>'femicide victims by region'!$B$5:$B$13</c:f>
              <c:numCache>
                <c:formatCode>General</c:formatCode>
                <c:ptCount val="8"/>
                <c:pt idx="0">
                  <c:v>95</c:v>
                </c:pt>
                <c:pt idx="1">
                  <c:v>23</c:v>
                </c:pt>
                <c:pt idx="2">
                  <c:v>58</c:v>
                </c:pt>
                <c:pt idx="3">
                  <c:v>75</c:v>
                </c:pt>
                <c:pt idx="4">
                  <c:v>3</c:v>
                </c:pt>
                <c:pt idx="5">
                  <c:v>61</c:v>
                </c:pt>
                <c:pt idx="6">
                  <c:v>152</c:v>
                </c:pt>
                <c:pt idx="7">
                  <c:v>35</c:v>
                </c:pt>
              </c:numCache>
            </c:numRef>
          </c:val>
          <c:extLst>
            <c:ext xmlns:c16="http://schemas.microsoft.com/office/drawing/2014/chart" uri="{C3380CC4-5D6E-409C-BE32-E72D297353CC}">
              <c16:uniqueId val="{00000000-CE24-455F-8667-CFDADF22A8EF}"/>
            </c:ext>
          </c:extLst>
        </c:ser>
        <c:dLbls>
          <c:showLegendKey val="0"/>
          <c:showVal val="0"/>
          <c:showCatName val="0"/>
          <c:showSerName val="0"/>
          <c:showPercent val="0"/>
          <c:showBubbleSize val="0"/>
        </c:dLbls>
        <c:gapWidth val="219"/>
        <c:overlap val="-27"/>
        <c:axId val="47354992"/>
        <c:axId val="47349712"/>
      </c:barChart>
      <c:catAx>
        <c:axId val="4735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7349712"/>
        <c:crosses val="autoZero"/>
        <c:auto val="1"/>
        <c:lblAlgn val="ctr"/>
        <c:lblOffset val="100"/>
        <c:noMultiLvlLbl val="0"/>
      </c:catAx>
      <c:valAx>
        <c:axId val="4734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735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[cleaned_kenyan_femicide_data.xlsx]femicide victims by region!PivotTable5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Femicide</a:t>
            </a:r>
            <a:r>
              <a:rPr lang="nl-NL" baseline="0"/>
              <a:t> victims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'femicide victims by region'!$B$4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7E-46A2-8E0E-CBC2A6F2AD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7E-46A2-8E0E-CBC2A6F2AD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7E-46A2-8E0E-CBC2A6F2AD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7E-46A2-8E0E-CBC2A6F2AD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7E-46A2-8E0E-CBC2A6F2AD1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17E-46A2-8E0E-CBC2A6F2AD1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17E-46A2-8E0E-CBC2A6F2AD1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17E-46A2-8E0E-CBC2A6F2AD18}"/>
              </c:ext>
            </c:extLst>
          </c:dPt>
          <c:cat>
            <c:strRef>
              <c:f>'femicide victims by region'!$A$5:$A$13</c:f>
              <c:strCache>
                <c:ptCount val="8"/>
                <c:pt idx="0">
                  <c:v>Central</c:v>
                </c:pt>
                <c:pt idx="1">
                  <c:v>Coast</c:v>
                </c:pt>
                <c:pt idx="2">
                  <c:v>Eastern</c:v>
                </c:pt>
                <c:pt idx="3">
                  <c:v>Nairobi</c:v>
                </c:pt>
                <c:pt idx="4">
                  <c:v>North Eastern</c:v>
                </c:pt>
                <c:pt idx="5">
                  <c:v>Nyanza</c:v>
                </c:pt>
                <c:pt idx="6">
                  <c:v>Rift Valley</c:v>
                </c:pt>
                <c:pt idx="7">
                  <c:v>Western</c:v>
                </c:pt>
              </c:strCache>
            </c:strRef>
          </c:cat>
          <c:val>
            <c:numRef>
              <c:f>'femicide victims by region'!$B$5:$B$13</c:f>
              <c:numCache>
                <c:formatCode>General</c:formatCode>
                <c:ptCount val="8"/>
                <c:pt idx="0">
                  <c:v>95</c:v>
                </c:pt>
                <c:pt idx="1">
                  <c:v>23</c:v>
                </c:pt>
                <c:pt idx="2">
                  <c:v>58</c:v>
                </c:pt>
                <c:pt idx="3">
                  <c:v>75</c:v>
                </c:pt>
                <c:pt idx="4">
                  <c:v>3</c:v>
                </c:pt>
                <c:pt idx="5">
                  <c:v>61</c:v>
                </c:pt>
                <c:pt idx="6">
                  <c:v>152</c:v>
                </c:pt>
                <c:pt idx="7">
                  <c:v>35</c:v>
                </c:pt>
              </c:numCache>
            </c:numRef>
          </c:val>
          <c:extLst>
            <c:ext xmlns:c16="http://schemas.microsoft.com/office/drawing/2014/chart" uri="{C3380CC4-5D6E-409C-BE32-E72D297353CC}">
              <c16:uniqueId val="{00000000-5D1A-4407-98BC-CD305BF90E1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[cleaned_kenyan_femicide_data.xlsx]verdict!PivotTable6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Verdict</a:t>
            </a:r>
            <a:r>
              <a:rPr lang="nl-NL" baseline="0"/>
              <a:t> reached in court</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verdict!$B$3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44A-424B-8C9E-500B581EA90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44A-424B-8C9E-500B581EA90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44A-424B-8C9E-500B581EA905}"/>
              </c:ext>
            </c:extLst>
          </c:dPt>
          <c:cat>
            <c:strRef>
              <c:f>verdict!$A$4:$A$7</c:f>
              <c:strCache>
                <c:ptCount val="3"/>
                <c:pt idx="0">
                  <c:v>15 years</c:v>
                </c:pt>
                <c:pt idx="1">
                  <c:v>guilty</c:v>
                </c:pt>
                <c:pt idx="2">
                  <c:v>Not Guilty</c:v>
                </c:pt>
              </c:strCache>
            </c:strRef>
          </c:cat>
          <c:val>
            <c:numRef>
              <c:f>verdict!$B$4:$B$7</c:f>
              <c:numCache>
                <c:formatCode>General</c:formatCode>
                <c:ptCount val="3"/>
                <c:pt idx="0">
                  <c:v>1</c:v>
                </c:pt>
                <c:pt idx="1">
                  <c:v>32</c:v>
                </c:pt>
                <c:pt idx="2">
                  <c:v>3</c:v>
                </c:pt>
              </c:numCache>
            </c:numRef>
          </c:val>
          <c:extLst>
            <c:ext xmlns:c16="http://schemas.microsoft.com/office/drawing/2014/chart" uri="{C3380CC4-5D6E-409C-BE32-E72D297353CC}">
              <c16:uniqueId val="{00000000-CF47-4D74-A126-48A3701CEAD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[cleaned_kenyan_femicide_data.xlsx]total number of cases by publis!PivotTable1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femicide</a:t>
            </a:r>
            <a:r>
              <a:rPr lang="en-US" baseline="0"/>
              <a:t> by the date published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number of cases by publis'!$B$3</c:f>
              <c:strCache>
                <c:ptCount val="1"/>
                <c:pt idx="0">
                  <c:v>Total</c:v>
                </c:pt>
              </c:strCache>
            </c:strRef>
          </c:tx>
          <c:spPr>
            <a:ln w="28575" cap="rnd">
              <a:solidFill>
                <a:schemeClr val="accent1"/>
              </a:solidFill>
              <a:round/>
            </a:ln>
            <a:effectLst/>
          </c:spPr>
          <c:marker>
            <c:symbol val="none"/>
          </c:marker>
          <c:cat>
            <c:strRef>
              <c:f>'total number of cases by publis'!$A$4:$A$13</c:f>
              <c:strCache>
                <c:ptCount val="9"/>
                <c:pt idx="0">
                  <c:v>&lt;01/01/2016</c:v>
                </c:pt>
                <c:pt idx="1">
                  <c:v>2016</c:v>
                </c:pt>
                <c:pt idx="2">
                  <c:v>2017</c:v>
                </c:pt>
                <c:pt idx="3">
                  <c:v>2018</c:v>
                </c:pt>
                <c:pt idx="4">
                  <c:v>2019</c:v>
                </c:pt>
                <c:pt idx="5">
                  <c:v>2020</c:v>
                </c:pt>
                <c:pt idx="6">
                  <c:v>2021</c:v>
                </c:pt>
                <c:pt idx="7">
                  <c:v>2022</c:v>
                </c:pt>
                <c:pt idx="8">
                  <c:v>2023</c:v>
                </c:pt>
              </c:strCache>
            </c:strRef>
          </c:cat>
          <c:val>
            <c:numRef>
              <c:f>'total number of cases by publis'!$B$4:$B$13</c:f>
              <c:numCache>
                <c:formatCode>General</c:formatCode>
                <c:ptCount val="9"/>
                <c:pt idx="0">
                  <c:v>38</c:v>
                </c:pt>
                <c:pt idx="1">
                  <c:v>23</c:v>
                </c:pt>
                <c:pt idx="2">
                  <c:v>48</c:v>
                </c:pt>
                <c:pt idx="3">
                  <c:v>95</c:v>
                </c:pt>
                <c:pt idx="4">
                  <c:v>49</c:v>
                </c:pt>
                <c:pt idx="5">
                  <c:v>54</c:v>
                </c:pt>
                <c:pt idx="6">
                  <c:v>76</c:v>
                </c:pt>
                <c:pt idx="7">
                  <c:v>44</c:v>
                </c:pt>
                <c:pt idx="8">
                  <c:v>75</c:v>
                </c:pt>
              </c:numCache>
            </c:numRef>
          </c:val>
          <c:smooth val="0"/>
          <c:extLst>
            <c:ext xmlns:c16="http://schemas.microsoft.com/office/drawing/2014/chart" uri="{C3380CC4-5D6E-409C-BE32-E72D297353CC}">
              <c16:uniqueId val="{00000000-6AF3-4C75-9704-BCE24FACE046}"/>
            </c:ext>
          </c:extLst>
        </c:ser>
        <c:dLbls>
          <c:showLegendKey val="0"/>
          <c:showVal val="0"/>
          <c:showCatName val="0"/>
          <c:showSerName val="0"/>
          <c:showPercent val="0"/>
          <c:showBubbleSize val="0"/>
        </c:dLbls>
        <c:smooth val="0"/>
        <c:axId val="1422208367"/>
        <c:axId val="1422220847"/>
      </c:lineChart>
      <c:catAx>
        <c:axId val="142220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22220847"/>
        <c:crosses val="autoZero"/>
        <c:auto val="1"/>
        <c:lblAlgn val="ctr"/>
        <c:lblOffset val="100"/>
        <c:noMultiLvlLbl val="0"/>
      </c:catAx>
      <c:valAx>
        <c:axId val="142222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2220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[cleaned_kenyan_femicide_data.xlsx]victims by mode of killing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Total number of victims by mode of killing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'victims by mode of killing '!$B$3</c:f>
              <c:strCache>
                <c:ptCount val="1"/>
                <c:pt idx="0">
                  <c:v>Total</c:v>
                </c:pt>
              </c:strCache>
            </c:strRef>
          </c:tx>
          <c:spPr>
            <a:solidFill>
              <a:schemeClr val="accent1"/>
            </a:solidFill>
            <a:ln>
              <a:noFill/>
            </a:ln>
            <a:effectLst/>
          </c:spPr>
          <c:invertIfNegative val="0"/>
          <c:cat>
            <c:strRef>
              <c:f>'victims by mode of killing '!$A$4:$A$13</c:f>
              <c:strCache>
                <c:ptCount val="9"/>
                <c:pt idx="0">
                  <c:v>blunt force</c:v>
                </c:pt>
                <c:pt idx="1">
                  <c:v>burned</c:v>
                </c:pt>
                <c:pt idx="2">
                  <c:v>hacked</c:v>
                </c:pt>
                <c:pt idx="3">
                  <c:v>Not Provided </c:v>
                </c:pt>
                <c:pt idx="4">
                  <c:v>other</c:v>
                </c:pt>
                <c:pt idx="5">
                  <c:v>sexual assault</c:v>
                </c:pt>
                <c:pt idx="6">
                  <c:v>shot</c:v>
                </c:pt>
                <c:pt idx="7">
                  <c:v>stabbed</c:v>
                </c:pt>
                <c:pt idx="8">
                  <c:v>Strangled</c:v>
                </c:pt>
              </c:strCache>
            </c:strRef>
          </c:cat>
          <c:val>
            <c:numRef>
              <c:f>'victims by mode of killing '!$B$4:$B$13</c:f>
              <c:numCache>
                <c:formatCode>General</c:formatCode>
                <c:ptCount val="9"/>
                <c:pt idx="0">
                  <c:v>76</c:v>
                </c:pt>
                <c:pt idx="1">
                  <c:v>13</c:v>
                </c:pt>
                <c:pt idx="2">
                  <c:v>67</c:v>
                </c:pt>
                <c:pt idx="3">
                  <c:v>65</c:v>
                </c:pt>
                <c:pt idx="4">
                  <c:v>14</c:v>
                </c:pt>
                <c:pt idx="5">
                  <c:v>18</c:v>
                </c:pt>
                <c:pt idx="6">
                  <c:v>31</c:v>
                </c:pt>
                <c:pt idx="7">
                  <c:v>154</c:v>
                </c:pt>
                <c:pt idx="8">
                  <c:v>64</c:v>
                </c:pt>
              </c:numCache>
            </c:numRef>
          </c:val>
          <c:extLst>
            <c:ext xmlns:c16="http://schemas.microsoft.com/office/drawing/2014/chart" uri="{C3380CC4-5D6E-409C-BE32-E72D297353CC}">
              <c16:uniqueId val="{00000000-C4B8-470B-B7BC-BDA0659B0CCA}"/>
            </c:ext>
          </c:extLst>
        </c:ser>
        <c:dLbls>
          <c:showLegendKey val="0"/>
          <c:showVal val="0"/>
          <c:showCatName val="0"/>
          <c:showSerName val="0"/>
          <c:showPercent val="0"/>
          <c:showBubbleSize val="0"/>
        </c:dLbls>
        <c:gapWidth val="219"/>
        <c:overlap val="-27"/>
        <c:axId val="2045256640"/>
        <c:axId val="2045254240"/>
      </c:barChart>
      <c:catAx>
        <c:axId val="204525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45254240"/>
        <c:crosses val="autoZero"/>
        <c:auto val="1"/>
        <c:lblAlgn val="ctr"/>
        <c:lblOffset val="100"/>
        <c:noMultiLvlLbl val="0"/>
      </c:catAx>
      <c:valAx>
        <c:axId val="204525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4525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121920</xdr:colOff>
      <xdr:row>0</xdr:row>
      <xdr:rowOff>45720</xdr:rowOff>
    </xdr:from>
    <xdr:to>
      <xdr:col>21</xdr:col>
      <xdr:colOff>480060</xdr:colOff>
      <xdr:row>3</xdr:row>
      <xdr:rowOff>129540</xdr:rowOff>
    </xdr:to>
    <xdr:sp macro="" textlink="">
      <xdr:nvSpPr>
        <xdr:cNvPr id="5" name="Rectangle: Rounded Corners 4">
          <a:extLst>
            <a:ext uri="{FF2B5EF4-FFF2-40B4-BE49-F238E27FC236}">
              <a16:creationId xmlns:a16="http://schemas.microsoft.com/office/drawing/2014/main" id="{1516C5FB-2CD9-A493-218E-E3186FC9506C}"/>
            </a:ext>
          </a:extLst>
        </xdr:cNvPr>
        <xdr:cNvSpPr/>
      </xdr:nvSpPr>
      <xdr:spPr>
        <a:xfrm>
          <a:off x="3169920" y="45720"/>
          <a:ext cx="10111740" cy="6324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rgbClr val="7030A0"/>
              </a:solidFill>
              <a:latin typeface="Aharoni" panose="020F0502020204030204" pitchFamily="2" charset="-79"/>
              <a:ea typeface="ADLaM Display" panose="020F0502020204030204" pitchFamily="2" charset="0"/>
              <a:cs typeface="Aharoni" panose="020F0502020204030204" pitchFamily="2" charset="-79"/>
            </a:rPr>
            <a:t>FEMICIDE CASES  IN KENYA ANALYSIS </a:t>
          </a:r>
          <a:endParaRPr lang="en-KE" sz="3200">
            <a:solidFill>
              <a:srgbClr val="7030A0"/>
            </a:solidFill>
            <a:latin typeface="Aharoni" panose="020F0502020204030204" pitchFamily="2" charset="-79"/>
            <a:ea typeface="ADLaM Display" panose="020F0502020204030204" pitchFamily="2" charset="0"/>
            <a:cs typeface="Aharoni" panose="020F0502020204030204" pitchFamily="2" charset="-79"/>
          </a:endParaRPr>
        </a:p>
      </xdr:txBody>
    </xdr:sp>
    <xdr:clientData/>
  </xdr:twoCellAnchor>
  <xdr:twoCellAnchor editAs="oneCell">
    <xdr:from>
      <xdr:col>15</xdr:col>
      <xdr:colOff>198121</xdr:colOff>
      <xdr:row>12</xdr:row>
      <xdr:rowOff>70502</xdr:rowOff>
    </xdr:from>
    <xdr:to>
      <xdr:col>28</xdr:col>
      <xdr:colOff>137161</xdr:colOff>
      <xdr:row>27</xdr:row>
      <xdr:rowOff>129540</xdr:rowOff>
    </xdr:to>
    <xdr:pic>
      <xdr:nvPicPr>
        <xdr:cNvPr id="6" name="Picture 5">
          <a:extLst>
            <a:ext uri="{FF2B5EF4-FFF2-40B4-BE49-F238E27FC236}">
              <a16:creationId xmlns:a16="http://schemas.microsoft.com/office/drawing/2014/main" id="{4ACE6C20-E29A-1EDA-0960-2809B2A875C4}"/>
            </a:ext>
          </a:extLst>
        </xdr:cNvPr>
        <xdr:cNvPicPr>
          <a:picLocks noChangeAspect="1"/>
        </xdr:cNvPicPr>
      </xdr:nvPicPr>
      <xdr:blipFill>
        <a:blip xmlns:r="http://schemas.openxmlformats.org/officeDocument/2006/relationships" r:embed="rId1"/>
        <a:stretch>
          <a:fillRect/>
        </a:stretch>
      </xdr:blipFill>
      <xdr:spPr>
        <a:xfrm>
          <a:off x="9342121" y="2265062"/>
          <a:ext cx="7863840" cy="2802238"/>
        </a:xfrm>
        <a:prstGeom prst="rect">
          <a:avLst/>
        </a:prstGeom>
      </xdr:spPr>
    </xdr:pic>
    <xdr:clientData/>
  </xdr:twoCellAnchor>
  <xdr:twoCellAnchor editAs="oneCell">
    <xdr:from>
      <xdr:col>3</xdr:col>
      <xdr:colOff>251460</xdr:colOff>
      <xdr:row>44</xdr:row>
      <xdr:rowOff>175261</xdr:rowOff>
    </xdr:from>
    <xdr:to>
      <xdr:col>6</xdr:col>
      <xdr:colOff>251460</xdr:colOff>
      <xdr:row>52</xdr:row>
      <xdr:rowOff>160021</xdr:rowOff>
    </xdr:to>
    <mc:AlternateContent xmlns:mc="http://schemas.openxmlformats.org/markup-compatibility/2006">
      <mc:Choice xmlns:a14="http://schemas.microsoft.com/office/drawing/2010/main" Requires="a14">
        <xdr:graphicFrame macro="">
          <xdr:nvGraphicFramePr>
            <xdr:cNvPr id="7" name="type_of_femicide 1">
              <a:extLst>
                <a:ext uri="{FF2B5EF4-FFF2-40B4-BE49-F238E27FC236}">
                  <a16:creationId xmlns:a16="http://schemas.microsoft.com/office/drawing/2014/main" id="{B723A4E6-9284-4A18-A59A-0C476024A24C}"/>
                </a:ext>
              </a:extLst>
            </xdr:cNvPr>
            <xdr:cNvGraphicFramePr/>
          </xdr:nvGraphicFramePr>
          <xdr:xfrm>
            <a:off x="0" y="0"/>
            <a:ext cx="0" cy="0"/>
          </xdr:xfrm>
          <a:graphic>
            <a:graphicData uri="http://schemas.microsoft.com/office/drawing/2010/slicer">
              <sle:slicer xmlns:sle="http://schemas.microsoft.com/office/drawing/2010/slicer" name="type_of_femicide 1"/>
            </a:graphicData>
          </a:graphic>
        </xdr:graphicFrame>
      </mc:Choice>
      <mc:Fallback>
        <xdr:sp macro="" textlink="">
          <xdr:nvSpPr>
            <xdr:cNvPr id="0" name=""/>
            <xdr:cNvSpPr>
              <a:spLocks noTextEdit="1"/>
            </xdr:cNvSpPr>
          </xdr:nvSpPr>
          <xdr:spPr>
            <a:xfrm>
              <a:off x="2085904" y="8039854"/>
              <a:ext cx="1834445" cy="141468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190500</xdr:colOff>
      <xdr:row>27</xdr:row>
      <xdr:rowOff>152400</xdr:rowOff>
    </xdr:from>
    <xdr:to>
      <xdr:col>28</xdr:col>
      <xdr:colOff>182880</xdr:colOff>
      <xdr:row>42</xdr:row>
      <xdr:rowOff>152400</xdr:rowOff>
    </xdr:to>
    <xdr:graphicFrame macro="">
      <xdr:nvGraphicFramePr>
        <xdr:cNvPr id="8" name="Chart 7">
          <a:extLst>
            <a:ext uri="{FF2B5EF4-FFF2-40B4-BE49-F238E27FC236}">
              <a16:creationId xmlns:a16="http://schemas.microsoft.com/office/drawing/2014/main" id="{7381E315-9BFD-47F3-A801-59FD8660A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175260</xdr:colOff>
      <xdr:row>43</xdr:row>
      <xdr:rowOff>45720</xdr:rowOff>
    </xdr:from>
    <xdr:to>
      <xdr:col>21</xdr:col>
      <xdr:colOff>335280</xdr:colOff>
      <xdr:row>58</xdr:row>
      <xdr:rowOff>45720</xdr:rowOff>
    </xdr:to>
    <xdr:graphicFrame macro="">
      <xdr:nvGraphicFramePr>
        <xdr:cNvPr id="10" name="Chart 9">
          <a:extLst>
            <a:ext uri="{FF2B5EF4-FFF2-40B4-BE49-F238E27FC236}">
              <a16:creationId xmlns:a16="http://schemas.microsoft.com/office/drawing/2014/main" id="{30002ECB-9E17-4CB9-977F-AF582A789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411480</xdr:colOff>
      <xdr:row>43</xdr:row>
      <xdr:rowOff>45719</xdr:rowOff>
    </xdr:from>
    <xdr:to>
      <xdr:col>28</xdr:col>
      <xdr:colOff>167640</xdr:colOff>
      <xdr:row>58</xdr:row>
      <xdr:rowOff>45719</xdr:rowOff>
    </xdr:to>
    <xdr:graphicFrame macro="">
      <xdr:nvGraphicFramePr>
        <xdr:cNvPr id="11" name="Chart 10">
          <a:extLst>
            <a:ext uri="{FF2B5EF4-FFF2-40B4-BE49-F238E27FC236}">
              <a16:creationId xmlns:a16="http://schemas.microsoft.com/office/drawing/2014/main" id="{4CB8EFF8-D523-4BDD-A9FC-FA82D6B33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182880</xdr:colOff>
      <xdr:row>12</xdr:row>
      <xdr:rowOff>182879</xdr:rowOff>
    </xdr:from>
    <xdr:to>
      <xdr:col>3</xdr:col>
      <xdr:colOff>182880</xdr:colOff>
      <xdr:row>27</xdr:row>
      <xdr:rowOff>20954</xdr:rowOff>
    </xdr:to>
    <mc:AlternateContent xmlns:mc="http://schemas.openxmlformats.org/markup-compatibility/2006">
      <mc:Choice xmlns:a14="http://schemas.microsoft.com/office/drawing/2010/main" Requires="a14">
        <xdr:graphicFrame macro="">
          <xdr:nvGraphicFramePr>
            <xdr:cNvPr id="12" name="county 1">
              <a:extLst>
                <a:ext uri="{FF2B5EF4-FFF2-40B4-BE49-F238E27FC236}">
                  <a16:creationId xmlns:a16="http://schemas.microsoft.com/office/drawing/2014/main" id="{35545625-6384-430B-95C5-EFDE0DF24438}"/>
                </a:ext>
              </a:extLst>
            </xdr:cNvPr>
            <xdr:cNvGraphicFramePr/>
          </xdr:nvGraphicFramePr>
          <xdr:xfrm>
            <a:off x="0" y="0"/>
            <a:ext cx="0" cy="0"/>
          </xdr:xfrm>
          <a:graphic>
            <a:graphicData uri="http://schemas.microsoft.com/office/drawing/2010/slicer">
              <sle:slicer xmlns:sle="http://schemas.microsoft.com/office/drawing/2010/slicer" name="county 1"/>
            </a:graphicData>
          </a:graphic>
        </xdr:graphicFrame>
      </mc:Choice>
      <mc:Fallback>
        <xdr:sp macro="" textlink="">
          <xdr:nvSpPr>
            <xdr:cNvPr id="0" name=""/>
            <xdr:cNvSpPr>
              <a:spLocks noTextEdit="1"/>
            </xdr:cNvSpPr>
          </xdr:nvSpPr>
          <xdr:spPr>
            <a:xfrm>
              <a:off x="182880" y="2327768"/>
              <a:ext cx="1834444" cy="251918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99060</xdr:colOff>
      <xdr:row>27</xdr:row>
      <xdr:rowOff>182879</xdr:rowOff>
    </xdr:from>
    <xdr:to>
      <xdr:col>14</xdr:col>
      <xdr:colOff>403860</xdr:colOff>
      <xdr:row>42</xdr:row>
      <xdr:rowOff>182879</xdr:rowOff>
    </xdr:to>
    <xdr:graphicFrame macro="">
      <xdr:nvGraphicFramePr>
        <xdr:cNvPr id="14" name="Chart 13">
          <a:extLst>
            <a:ext uri="{FF2B5EF4-FFF2-40B4-BE49-F238E27FC236}">
              <a16:creationId xmlns:a16="http://schemas.microsoft.com/office/drawing/2014/main" id="{E7CDE867-587E-400E-A6B5-5D18D3E32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76200</xdr:colOff>
      <xdr:row>43</xdr:row>
      <xdr:rowOff>38099</xdr:rowOff>
    </xdr:from>
    <xdr:to>
      <xdr:col>14</xdr:col>
      <xdr:colOff>381000</xdr:colOff>
      <xdr:row>58</xdr:row>
      <xdr:rowOff>38099</xdr:rowOff>
    </xdr:to>
    <xdr:graphicFrame macro="">
      <xdr:nvGraphicFramePr>
        <xdr:cNvPr id="16" name="Chart 15">
          <a:extLst>
            <a:ext uri="{FF2B5EF4-FFF2-40B4-BE49-F238E27FC236}">
              <a16:creationId xmlns:a16="http://schemas.microsoft.com/office/drawing/2014/main" id="{D1924E99-27FE-419E-BAA5-079C98B5E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91440</xdr:colOff>
      <xdr:row>12</xdr:row>
      <xdr:rowOff>121919</xdr:rowOff>
    </xdr:from>
    <xdr:to>
      <xdr:col>14</xdr:col>
      <xdr:colOff>396240</xdr:colOff>
      <xdr:row>27</xdr:row>
      <xdr:rowOff>121919</xdr:rowOff>
    </xdr:to>
    <xdr:graphicFrame macro="">
      <xdr:nvGraphicFramePr>
        <xdr:cNvPr id="17" name="Chart 16">
          <a:extLst>
            <a:ext uri="{FF2B5EF4-FFF2-40B4-BE49-F238E27FC236}">
              <a16:creationId xmlns:a16="http://schemas.microsoft.com/office/drawing/2014/main" id="{C29D5589-96DE-49FE-9CD3-AD300617B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129540</xdr:colOff>
      <xdr:row>12</xdr:row>
      <xdr:rowOff>53340</xdr:rowOff>
    </xdr:from>
    <xdr:to>
      <xdr:col>6</xdr:col>
      <xdr:colOff>312420</xdr:colOff>
      <xdr:row>58</xdr:row>
      <xdr:rowOff>144780</xdr:rowOff>
    </xdr:to>
    <xdr:sp macro="" textlink="">
      <xdr:nvSpPr>
        <xdr:cNvPr id="18" name="Rectangle 17">
          <a:extLst>
            <a:ext uri="{FF2B5EF4-FFF2-40B4-BE49-F238E27FC236}">
              <a16:creationId xmlns:a16="http://schemas.microsoft.com/office/drawing/2014/main" id="{65A9E36F-3A63-BD24-93E9-0DABB3CE5ABE}"/>
            </a:ext>
          </a:extLst>
        </xdr:cNvPr>
        <xdr:cNvSpPr/>
      </xdr:nvSpPr>
      <xdr:spPr>
        <a:xfrm>
          <a:off x="129540" y="2247900"/>
          <a:ext cx="3840480" cy="8503920"/>
        </a:xfrm>
        <a:prstGeom prst="rect">
          <a:avLst/>
        </a:prstGeom>
        <a:noFill/>
        <a:effectLst>
          <a:softEdge rad="0"/>
        </a:effectLst>
        <a:scene3d>
          <a:camera prst="orthographicFront"/>
          <a:lightRig rig="threePt" dir="t"/>
        </a:scene3d>
        <a:sp3d>
          <a:bevelT w="101600" h="5715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KE" sz="1100"/>
        </a:p>
      </xdr:txBody>
    </xdr:sp>
    <xdr:clientData/>
  </xdr:twoCellAnchor>
  <xdr:twoCellAnchor editAs="oneCell">
    <xdr:from>
      <xdr:col>3</xdr:col>
      <xdr:colOff>251460</xdr:colOff>
      <xdr:row>29</xdr:row>
      <xdr:rowOff>0</xdr:rowOff>
    </xdr:from>
    <xdr:to>
      <xdr:col>6</xdr:col>
      <xdr:colOff>251460</xdr:colOff>
      <xdr:row>43</xdr:row>
      <xdr:rowOff>20955</xdr:rowOff>
    </xdr:to>
    <mc:AlternateContent xmlns:mc="http://schemas.openxmlformats.org/markup-compatibility/2006">
      <mc:Choice xmlns:a14="http://schemas.microsoft.com/office/drawing/2010/main" Requires="a14">
        <xdr:graphicFrame macro="">
          <xdr:nvGraphicFramePr>
            <xdr:cNvPr id="2" name="suspect relationship 1">
              <a:extLst>
                <a:ext uri="{FF2B5EF4-FFF2-40B4-BE49-F238E27FC236}">
                  <a16:creationId xmlns:a16="http://schemas.microsoft.com/office/drawing/2014/main" id="{15E9AB44-AACA-453F-B90E-CC754DE9B585}"/>
                </a:ext>
              </a:extLst>
            </xdr:cNvPr>
            <xdr:cNvGraphicFramePr/>
          </xdr:nvGraphicFramePr>
          <xdr:xfrm>
            <a:off x="0" y="0"/>
            <a:ext cx="0" cy="0"/>
          </xdr:xfrm>
          <a:graphic>
            <a:graphicData uri="http://schemas.microsoft.com/office/drawing/2010/slicer">
              <sle:slicer xmlns:sle="http://schemas.microsoft.com/office/drawing/2010/slicer" name="suspect relationship 1"/>
            </a:graphicData>
          </a:graphic>
        </xdr:graphicFrame>
      </mc:Choice>
      <mc:Fallback>
        <xdr:sp macro="" textlink="">
          <xdr:nvSpPr>
            <xdr:cNvPr id="0" name=""/>
            <xdr:cNvSpPr>
              <a:spLocks noTextEdit="1"/>
            </xdr:cNvSpPr>
          </xdr:nvSpPr>
          <xdr:spPr>
            <a:xfrm>
              <a:off x="2085904" y="5183481"/>
              <a:ext cx="1834445" cy="252332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44</xdr:row>
      <xdr:rowOff>167641</xdr:rowOff>
    </xdr:from>
    <xdr:to>
      <xdr:col>3</xdr:col>
      <xdr:colOff>160020</xdr:colOff>
      <xdr:row>57</xdr:row>
      <xdr:rowOff>144781</xdr:rowOff>
    </xdr:to>
    <mc:AlternateContent xmlns:mc="http://schemas.openxmlformats.org/markup-compatibility/2006">
      <mc:Choice xmlns:a14="http://schemas.microsoft.com/office/drawing/2010/main" Requires="a14">
        <xdr:graphicFrame macro="">
          <xdr:nvGraphicFramePr>
            <xdr:cNvPr id="3" name="murder_scene 1">
              <a:extLst>
                <a:ext uri="{FF2B5EF4-FFF2-40B4-BE49-F238E27FC236}">
                  <a16:creationId xmlns:a16="http://schemas.microsoft.com/office/drawing/2014/main" id="{25D275CD-9E40-43D6-82C7-A48C024F4940}"/>
                </a:ext>
              </a:extLst>
            </xdr:cNvPr>
            <xdr:cNvGraphicFramePr/>
          </xdr:nvGraphicFramePr>
          <xdr:xfrm>
            <a:off x="0" y="0"/>
            <a:ext cx="0" cy="0"/>
          </xdr:xfrm>
          <a:graphic>
            <a:graphicData uri="http://schemas.microsoft.com/office/drawing/2010/slicer">
              <sle:slicer xmlns:sle="http://schemas.microsoft.com/office/drawing/2010/slicer" name="murder_scene 1"/>
            </a:graphicData>
          </a:graphic>
        </xdr:graphicFrame>
      </mc:Choice>
      <mc:Fallback>
        <xdr:sp macro="" textlink="">
          <xdr:nvSpPr>
            <xdr:cNvPr id="0" name=""/>
            <xdr:cNvSpPr>
              <a:spLocks noTextEdit="1"/>
            </xdr:cNvSpPr>
          </xdr:nvSpPr>
          <xdr:spPr>
            <a:xfrm>
              <a:off x="160020" y="8032234"/>
              <a:ext cx="1834444" cy="230076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259080</xdr:colOff>
      <xdr:row>13</xdr:row>
      <xdr:rowOff>0</xdr:rowOff>
    </xdr:from>
    <xdr:to>
      <xdr:col>6</xdr:col>
      <xdr:colOff>259080</xdr:colOff>
      <xdr:row>27</xdr:row>
      <xdr:rowOff>20955</xdr:rowOff>
    </xdr:to>
    <mc:AlternateContent xmlns:mc="http://schemas.openxmlformats.org/markup-compatibility/2006">
      <mc:Choice xmlns:a14="http://schemas.microsoft.com/office/drawing/2010/main" Requires="a14">
        <xdr:graphicFrame macro="">
          <xdr:nvGraphicFramePr>
            <xdr:cNvPr id="15" name="status_on_article_date 1">
              <a:extLst>
                <a:ext uri="{FF2B5EF4-FFF2-40B4-BE49-F238E27FC236}">
                  <a16:creationId xmlns:a16="http://schemas.microsoft.com/office/drawing/2014/main" id="{D792C0EA-6FE0-436F-8BCF-4EF75A97471B}"/>
                </a:ext>
              </a:extLst>
            </xdr:cNvPr>
            <xdr:cNvGraphicFramePr/>
          </xdr:nvGraphicFramePr>
          <xdr:xfrm>
            <a:off x="0" y="0"/>
            <a:ext cx="0" cy="0"/>
          </xdr:xfrm>
          <a:graphic>
            <a:graphicData uri="http://schemas.microsoft.com/office/drawing/2010/slicer">
              <sle:slicer xmlns:sle="http://schemas.microsoft.com/office/drawing/2010/slicer" name="status_on_article_date 1"/>
            </a:graphicData>
          </a:graphic>
        </xdr:graphicFrame>
      </mc:Choice>
      <mc:Fallback>
        <xdr:sp macro="" textlink="">
          <xdr:nvSpPr>
            <xdr:cNvPr id="0" name=""/>
            <xdr:cNvSpPr>
              <a:spLocks noTextEdit="1"/>
            </xdr:cNvSpPr>
          </xdr:nvSpPr>
          <xdr:spPr>
            <a:xfrm>
              <a:off x="2093524" y="2323630"/>
              <a:ext cx="1834445" cy="25233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12</xdr:row>
      <xdr:rowOff>45720</xdr:rowOff>
    </xdr:from>
    <xdr:to>
      <xdr:col>14</xdr:col>
      <xdr:colOff>480060</xdr:colOff>
      <xdr:row>58</xdr:row>
      <xdr:rowOff>137160</xdr:rowOff>
    </xdr:to>
    <xdr:sp macro="" textlink="">
      <xdr:nvSpPr>
        <xdr:cNvPr id="19" name="Rectangle 18">
          <a:extLst>
            <a:ext uri="{FF2B5EF4-FFF2-40B4-BE49-F238E27FC236}">
              <a16:creationId xmlns:a16="http://schemas.microsoft.com/office/drawing/2014/main" id="{79E83DC2-7208-4EE0-9CF1-4E2E712EE837}"/>
            </a:ext>
          </a:extLst>
        </xdr:cNvPr>
        <xdr:cNvSpPr/>
      </xdr:nvSpPr>
      <xdr:spPr>
        <a:xfrm>
          <a:off x="4267200" y="2240280"/>
          <a:ext cx="4747260" cy="8503920"/>
        </a:xfrm>
        <a:prstGeom prst="rect">
          <a:avLst/>
        </a:prstGeom>
        <a:noFill/>
        <a:effectLst>
          <a:softEdge rad="0"/>
        </a:effectLst>
        <a:scene3d>
          <a:camera prst="orthographicFront"/>
          <a:lightRig rig="threePt" dir="t"/>
        </a:scene3d>
        <a:sp3d>
          <a:bevelT w="101600" h="5715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KE" sz="1100"/>
        </a:p>
      </xdr:txBody>
    </xdr:sp>
    <xdr:clientData/>
  </xdr:twoCellAnchor>
  <xdr:twoCellAnchor>
    <xdr:from>
      <xdr:col>15</xdr:col>
      <xdr:colOff>152400</xdr:colOff>
      <xdr:row>12</xdr:row>
      <xdr:rowOff>38100</xdr:rowOff>
    </xdr:from>
    <xdr:to>
      <xdr:col>28</xdr:col>
      <xdr:colOff>213360</xdr:colOff>
      <xdr:row>58</xdr:row>
      <xdr:rowOff>137160</xdr:rowOff>
    </xdr:to>
    <xdr:sp macro="" textlink="">
      <xdr:nvSpPr>
        <xdr:cNvPr id="20" name="Rectangle 19">
          <a:extLst>
            <a:ext uri="{FF2B5EF4-FFF2-40B4-BE49-F238E27FC236}">
              <a16:creationId xmlns:a16="http://schemas.microsoft.com/office/drawing/2014/main" id="{AB8CF130-ECF3-468F-868F-D79B3B644A4D}"/>
            </a:ext>
          </a:extLst>
        </xdr:cNvPr>
        <xdr:cNvSpPr/>
      </xdr:nvSpPr>
      <xdr:spPr>
        <a:xfrm>
          <a:off x="9296400" y="2232660"/>
          <a:ext cx="7985760" cy="8511540"/>
        </a:xfrm>
        <a:prstGeom prst="rect">
          <a:avLst/>
        </a:prstGeom>
        <a:noFill/>
        <a:effectLst>
          <a:softEdge rad="0"/>
        </a:effectLst>
        <a:scene3d>
          <a:camera prst="orthographicFront"/>
          <a:lightRig rig="threePt" dir="t"/>
        </a:scene3d>
        <a:sp3d>
          <a:bevelT w="101600" h="5715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KE" sz="1100"/>
        </a:p>
      </xdr:txBody>
    </xdr:sp>
    <xdr:clientData/>
  </xdr:twoCellAnchor>
  <xdr:twoCellAnchor editAs="oneCell">
    <xdr:from>
      <xdr:col>0</xdr:col>
      <xdr:colOff>190500</xdr:colOff>
      <xdr:row>28</xdr:row>
      <xdr:rowOff>175260</xdr:rowOff>
    </xdr:from>
    <xdr:to>
      <xdr:col>3</xdr:col>
      <xdr:colOff>190500</xdr:colOff>
      <xdr:row>43</xdr:row>
      <xdr:rowOff>13335</xdr:rowOff>
    </xdr:to>
    <mc:AlternateContent xmlns:mc="http://schemas.openxmlformats.org/markup-compatibility/2006">
      <mc:Choice xmlns:a14="http://schemas.microsoft.com/office/drawing/2010/main" Requires="a14">
        <xdr:graphicFrame macro="">
          <xdr:nvGraphicFramePr>
            <xdr:cNvPr id="21" name="Region 1">
              <a:extLst>
                <a:ext uri="{FF2B5EF4-FFF2-40B4-BE49-F238E27FC236}">
                  <a16:creationId xmlns:a16="http://schemas.microsoft.com/office/drawing/2014/main" id="{78CD6E5F-34A3-45EF-B909-3E8E4070879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0500" y="5180001"/>
              <a:ext cx="1834444" cy="251918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94073</xdr:colOff>
      <xdr:row>4</xdr:row>
      <xdr:rowOff>103482</xdr:rowOff>
    </xdr:from>
    <xdr:to>
      <xdr:col>28</xdr:col>
      <xdr:colOff>225777</xdr:colOff>
      <xdr:row>10</xdr:row>
      <xdr:rowOff>84667</xdr:rowOff>
    </xdr:to>
    <xdr:sp macro="" textlink="">
      <xdr:nvSpPr>
        <xdr:cNvPr id="23" name="Rectangle: Rounded Corners 22">
          <a:extLst>
            <a:ext uri="{FF2B5EF4-FFF2-40B4-BE49-F238E27FC236}">
              <a16:creationId xmlns:a16="http://schemas.microsoft.com/office/drawing/2014/main" id="{746D7178-8B22-4D28-9BC6-278CBD678110}"/>
            </a:ext>
          </a:extLst>
        </xdr:cNvPr>
        <xdr:cNvSpPr/>
      </xdr:nvSpPr>
      <xdr:spPr>
        <a:xfrm>
          <a:off x="94073" y="818445"/>
          <a:ext cx="17253185" cy="105362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600">
            <a:solidFill>
              <a:srgbClr val="7030A0"/>
            </a:solidFill>
            <a:latin typeface="Aharoni" panose="020F0502020204030204" pitchFamily="2" charset="-79"/>
            <a:ea typeface="ADLaM Display" panose="020F0502020204030204" pitchFamily="2" charset="0"/>
            <a:cs typeface="Aharoni" panose="020F0502020204030204" pitchFamily="2" charset="-79"/>
          </a:endParaRPr>
        </a:p>
      </xdr:txBody>
    </xdr:sp>
    <xdr:clientData/>
  </xdr:twoCellAnchor>
  <xdr:twoCellAnchor>
    <xdr:from>
      <xdr:col>0</xdr:col>
      <xdr:colOff>517406</xdr:colOff>
      <xdr:row>4</xdr:row>
      <xdr:rowOff>169333</xdr:rowOff>
    </xdr:from>
    <xdr:to>
      <xdr:col>3</xdr:col>
      <xdr:colOff>395111</xdr:colOff>
      <xdr:row>10</xdr:row>
      <xdr:rowOff>65852</xdr:rowOff>
    </xdr:to>
    <xdr:sp macro="" textlink="">
      <xdr:nvSpPr>
        <xdr:cNvPr id="24" name="TextBox 23">
          <a:extLst>
            <a:ext uri="{FF2B5EF4-FFF2-40B4-BE49-F238E27FC236}">
              <a16:creationId xmlns:a16="http://schemas.microsoft.com/office/drawing/2014/main" id="{6CA1139C-CD39-B40A-BF4A-05581B6C8A6D}"/>
            </a:ext>
          </a:extLst>
        </xdr:cNvPr>
        <xdr:cNvSpPr txBox="1"/>
      </xdr:nvSpPr>
      <xdr:spPr>
        <a:xfrm>
          <a:off x="517406" y="884296"/>
          <a:ext cx="1712149" cy="968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5"/>
              </a:solidFill>
            </a:rPr>
            <a:t>Total Published Cases </a:t>
          </a:r>
        </a:p>
        <a:p>
          <a:pPr algn="ctr"/>
          <a:r>
            <a:rPr lang="en-US" sz="1800" b="1"/>
            <a:t>507</a:t>
          </a:r>
          <a:endParaRPr lang="en-KE" sz="1800" b="1"/>
        </a:p>
      </xdr:txBody>
    </xdr:sp>
    <xdr:clientData/>
  </xdr:twoCellAnchor>
  <xdr:twoCellAnchor>
    <xdr:from>
      <xdr:col>3</xdr:col>
      <xdr:colOff>583259</xdr:colOff>
      <xdr:row>4</xdr:row>
      <xdr:rowOff>178740</xdr:rowOff>
    </xdr:from>
    <xdr:to>
      <xdr:col>7</xdr:col>
      <xdr:colOff>159926</xdr:colOff>
      <xdr:row>10</xdr:row>
      <xdr:rowOff>37630</xdr:rowOff>
    </xdr:to>
    <xdr:sp macro="" textlink="">
      <xdr:nvSpPr>
        <xdr:cNvPr id="27" name="TextBox 26">
          <a:extLst>
            <a:ext uri="{FF2B5EF4-FFF2-40B4-BE49-F238E27FC236}">
              <a16:creationId xmlns:a16="http://schemas.microsoft.com/office/drawing/2014/main" id="{3D7CD106-4207-41DC-A463-A3C1DE85DB79}"/>
            </a:ext>
          </a:extLst>
        </xdr:cNvPr>
        <xdr:cNvSpPr txBox="1"/>
      </xdr:nvSpPr>
      <xdr:spPr>
        <a:xfrm>
          <a:off x="2417703" y="893703"/>
          <a:ext cx="2022593" cy="9313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chemeClr val="accent5"/>
              </a:solidFill>
              <a:latin typeface="+mn-lt"/>
              <a:ea typeface="+mn-ea"/>
              <a:cs typeface="+mn-cs"/>
            </a:rPr>
            <a:t>Most Victime Age Range</a:t>
          </a:r>
        </a:p>
        <a:p>
          <a:pPr marL="0" indent="0" algn="ctr"/>
          <a:r>
            <a:rPr lang="en-US" sz="1600" b="1">
              <a:solidFill>
                <a:sysClr val="windowText" lastClr="000000"/>
              </a:solidFill>
              <a:latin typeface="+mn-lt"/>
              <a:ea typeface="+mn-ea"/>
              <a:cs typeface="+mn-cs"/>
            </a:rPr>
            <a:t>26 - 36 yrs</a:t>
          </a:r>
          <a:endParaRPr lang="en-KE" sz="1600" b="1">
            <a:solidFill>
              <a:sysClr val="windowText" lastClr="000000"/>
            </a:solidFill>
            <a:latin typeface="+mn-lt"/>
            <a:ea typeface="+mn-ea"/>
            <a:cs typeface="+mn-cs"/>
          </a:endParaRPr>
        </a:p>
      </xdr:txBody>
    </xdr:sp>
    <xdr:clientData/>
  </xdr:twoCellAnchor>
  <xdr:twoCellAnchor>
    <xdr:from>
      <xdr:col>7</xdr:col>
      <xdr:colOff>366889</xdr:colOff>
      <xdr:row>5</xdr:row>
      <xdr:rowOff>9407</xdr:rowOff>
    </xdr:from>
    <xdr:to>
      <xdr:col>10</xdr:col>
      <xdr:colOff>545629</xdr:colOff>
      <xdr:row>10</xdr:row>
      <xdr:rowOff>56445</xdr:rowOff>
    </xdr:to>
    <xdr:sp macro="" textlink="">
      <xdr:nvSpPr>
        <xdr:cNvPr id="28" name="TextBox 27">
          <a:extLst>
            <a:ext uri="{FF2B5EF4-FFF2-40B4-BE49-F238E27FC236}">
              <a16:creationId xmlns:a16="http://schemas.microsoft.com/office/drawing/2014/main" id="{5025E0DF-E6EE-46B1-B53D-5F1AA5715D5C}"/>
            </a:ext>
          </a:extLst>
        </xdr:cNvPr>
        <xdr:cNvSpPr txBox="1"/>
      </xdr:nvSpPr>
      <xdr:spPr>
        <a:xfrm>
          <a:off x="4647259" y="903111"/>
          <a:ext cx="2013185" cy="940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KE" sz="1600" b="1">
              <a:solidFill>
                <a:schemeClr val="accent5"/>
              </a:solidFill>
              <a:latin typeface="+mn-lt"/>
              <a:ea typeface="+mn-ea"/>
              <a:cs typeface="+mn-cs"/>
            </a:rPr>
            <a:t>Most Affected County</a:t>
          </a:r>
          <a:endParaRPr lang="en-US" sz="1600" b="1">
            <a:solidFill>
              <a:schemeClr val="accent5"/>
            </a:solidFill>
            <a:latin typeface="+mn-lt"/>
            <a:ea typeface="+mn-ea"/>
            <a:cs typeface="+mn-cs"/>
          </a:endParaRPr>
        </a:p>
        <a:p>
          <a:pPr marL="0" indent="0" algn="ctr"/>
          <a:r>
            <a:rPr lang="en-US" sz="1600" b="1">
              <a:solidFill>
                <a:sysClr val="windowText" lastClr="000000"/>
              </a:solidFill>
              <a:latin typeface="+mn-lt"/>
              <a:ea typeface="+mn-ea"/>
              <a:cs typeface="+mn-cs"/>
            </a:rPr>
            <a:t>Nairobi</a:t>
          </a:r>
          <a:endParaRPr lang="en-KE" sz="1600" b="1">
            <a:solidFill>
              <a:sysClr val="windowText" lastClr="000000"/>
            </a:solidFill>
            <a:latin typeface="+mn-lt"/>
            <a:ea typeface="+mn-ea"/>
            <a:cs typeface="+mn-cs"/>
          </a:endParaRPr>
        </a:p>
      </xdr:txBody>
    </xdr:sp>
    <xdr:clientData/>
  </xdr:twoCellAnchor>
  <xdr:twoCellAnchor>
    <xdr:from>
      <xdr:col>11</xdr:col>
      <xdr:colOff>263408</xdr:colOff>
      <xdr:row>4</xdr:row>
      <xdr:rowOff>159925</xdr:rowOff>
    </xdr:from>
    <xdr:to>
      <xdr:col>14</xdr:col>
      <xdr:colOff>413926</xdr:colOff>
      <xdr:row>9</xdr:row>
      <xdr:rowOff>169333</xdr:rowOff>
    </xdr:to>
    <xdr:sp macro="" textlink="">
      <xdr:nvSpPr>
        <xdr:cNvPr id="29" name="TextBox 28">
          <a:extLst>
            <a:ext uri="{FF2B5EF4-FFF2-40B4-BE49-F238E27FC236}">
              <a16:creationId xmlns:a16="http://schemas.microsoft.com/office/drawing/2014/main" id="{9D1FDAB7-08C0-4F1E-B818-4A6895F1591B}"/>
            </a:ext>
          </a:extLst>
        </xdr:cNvPr>
        <xdr:cNvSpPr txBox="1"/>
      </xdr:nvSpPr>
      <xdr:spPr>
        <a:xfrm>
          <a:off x="6989704" y="874888"/>
          <a:ext cx="1984963" cy="9031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chemeClr val="accent5"/>
              </a:solidFill>
              <a:latin typeface="+mn-lt"/>
              <a:ea typeface="+mn-ea"/>
              <a:cs typeface="+mn-cs"/>
            </a:rPr>
            <a:t>Total Affected Counties</a:t>
          </a:r>
        </a:p>
        <a:p>
          <a:pPr marL="0" indent="0" algn="ctr"/>
          <a:r>
            <a:rPr lang="en-US" sz="1600" b="1">
              <a:solidFill>
                <a:sysClr val="windowText" lastClr="000000"/>
              </a:solidFill>
              <a:latin typeface="+mn-lt"/>
              <a:ea typeface="+mn-ea"/>
              <a:cs typeface="+mn-cs"/>
            </a:rPr>
            <a:t>45</a:t>
          </a:r>
          <a:endParaRPr lang="en-KE" sz="1600" b="1">
            <a:solidFill>
              <a:sysClr val="windowText" lastClr="000000"/>
            </a:solidFill>
            <a:latin typeface="+mn-lt"/>
            <a:ea typeface="+mn-ea"/>
            <a:cs typeface="+mn-cs"/>
          </a:endParaRPr>
        </a:p>
      </xdr:txBody>
    </xdr:sp>
    <xdr:clientData/>
  </xdr:twoCellAnchor>
  <xdr:twoCellAnchor>
    <xdr:from>
      <xdr:col>15</xdr:col>
      <xdr:colOff>75258</xdr:colOff>
      <xdr:row>5</xdr:row>
      <xdr:rowOff>9406</xdr:rowOff>
    </xdr:from>
    <xdr:to>
      <xdr:col>17</xdr:col>
      <xdr:colOff>555036</xdr:colOff>
      <xdr:row>10</xdr:row>
      <xdr:rowOff>18815</xdr:rowOff>
    </xdr:to>
    <xdr:sp macro="" textlink="">
      <xdr:nvSpPr>
        <xdr:cNvPr id="30" name="TextBox 29">
          <a:extLst>
            <a:ext uri="{FF2B5EF4-FFF2-40B4-BE49-F238E27FC236}">
              <a16:creationId xmlns:a16="http://schemas.microsoft.com/office/drawing/2014/main" id="{25C64117-3065-4801-84FF-1BAEC3E7093D}"/>
            </a:ext>
          </a:extLst>
        </xdr:cNvPr>
        <xdr:cNvSpPr txBox="1"/>
      </xdr:nvSpPr>
      <xdr:spPr>
        <a:xfrm>
          <a:off x="9247480" y="903110"/>
          <a:ext cx="1702741" cy="9031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KE" sz="1600" b="1">
              <a:solidFill>
                <a:schemeClr val="accent5"/>
              </a:solidFill>
              <a:latin typeface="+mn-lt"/>
              <a:ea typeface="+mn-ea"/>
              <a:cs typeface="+mn-cs"/>
            </a:rPr>
            <a:t>Intimate Partner Cases</a:t>
          </a:r>
          <a:endParaRPr lang="en-US" sz="1600" b="1">
            <a:solidFill>
              <a:schemeClr val="accent5"/>
            </a:solidFill>
            <a:latin typeface="+mn-lt"/>
            <a:ea typeface="+mn-ea"/>
            <a:cs typeface="+mn-cs"/>
          </a:endParaRPr>
        </a:p>
        <a:p>
          <a:pPr marL="0" indent="0" algn="ctr"/>
          <a:r>
            <a:rPr lang="en-US" sz="1600" b="1">
              <a:solidFill>
                <a:sysClr val="windowText" lastClr="000000"/>
              </a:solidFill>
              <a:latin typeface="+mn-lt"/>
              <a:ea typeface="+mn-ea"/>
              <a:cs typeface="+mn-cs"/>
            </a:rPr>
            <a:t>83%</a:t>
          </a:r>
          <a:endParaRPr lang="en-KE" sz="1600" b="1">
            <a:solidFill>
              <a:sysClr val="windowText" lastClr="000000"/>
            </a:solidFill>
            <a:latin typeface="+mn-lt"/>
            <a:ea typeface="+mn-ea"/>
            <a:cs typeface="+mn-cs"/>
          </a:endParaRPr>
        </a:p>
      </xdr:txBody>
    </xdr:sp>
    <xdr:clientData/>
  </xdr:twoCellAnchor>
  <xdr:twoCellAnchor>
    <xdr:from>
      <xdr:col>18</xdr:col>
      <xdr:colOff>114770</xdr:colOff>
      <xdr:row>5</xdr:row>
      <xdr:rowOff>20696</xdr:rowOff>
    </xdr:from>
    <xdr:to>
      <xdr:col>20</xdr:col>
      <xdr:colOff>460963</xdr:colOff>
      <xdr:row>9</xdr:row>
      <xdr:rowOff>169333</xdr:rowOff>
    </xdr:to>
    <xdr:sp macro="" textlink="">
      <xdr:nvSpPr>
        <xdr:cNvPr id="31" name="TextBox 30">
          <a:extLst>
            <a:ext uri="{FF2B5EF4-FFF2-40B4-BE49-F238E27FC236}">
              <a16:creationId xmlns:a16="http://schemas.microsoft.com/office/drawing/2014/main" id="{1CF795CB-CB16-4B47-810B-D1027A89538E}"/>
            </a:ext>
          </a:extLst>
        </xdr:cNvPr>
        <xdr:cNvSpPr txBox="1"/>
      </xdr:nvSpPr>
      <xdr:spPr>
        <a:xfrm>
          <a:off x="11121437" y="914400"/>
          <a:ext cx="1569156" cy="86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chemeClr val="accent5"/>
              </a:solidFill>
              <a:latin typeface="+mn-lt"/>
              <a:ea typeface="+mn-ea"/>
              <a:cs typeface="+mn-cs"/>
            </a:rPr>
            <a:t>Total minor cases </a:t>
          </a:r>
        </a:p>
        <a:p>
          <a:pPr marL="0" indent="0" algn="ctr"/>
          <a:r>
            <a:rPr lang="en-US" sz="1600" b="1">
              <a:solidFill>
                <a:sysClr val="windowText" lastClr="000000"/>
              </a:solidFill>
              <a:latin typeface="+mn-lt"/>
              <a:ea typeface="+mn-ea"/>
              <a:cs typeface="+mn-cs"/>
            </a:rPr>
            <a:t>20</a:t>
          </a:r>
          <a:endParaRPr lang="en-KE" sz="1600" b="1">
            <a:solidFill>
              <a:sysClr val="windowText" lastClr="000000"/>
            </a:solidFill>
            <a:latin typeface="+mn-lt"/>
            <a:ea typeface="+mn-ea"/>
            <a:cs typeface="+mn-cs"/>
          </a:endParaRPr>
        </a:p>
      </xdr:txBody>
    </xdr:sp>
    <xdr:clientData/>
  </xdr:twoCellAnchor>
  <xdr:twoCellAnchor>
    <xdr:from>
      <xdr:col>20</xdr:col>
      <xdr:colOff>555038</xdr:colOff>
      <xdr:row>4</xdr:row>
      <xdr:rowOff>163688</xdr:rowOff>
    </xdr:from>
    <xdr:to>
      <xdr:col>24</xdr:col>
      <xdr:colOff>188148</xdr:colOff>
      <xdr:row>10</xdr:row>
      <xdr:rowOff>9407</xdr:rowOff>
    </xdr:to>
    <xdr:sp macro="" textlink="">
      <xdr:nvSpPr>
        <xdr:cNvPr id="32" name="TextBox 31">
          <a:extLst>
            <a:ext uri="{FF2B5EF4-FFF2-40B4-BE49-F238E27FC236}">
              <a16:creationId xmlns:a16="http://schemas.microsoft.com/office/drawing/2014/main" id="{87D470C2-5767-4296-ABB2-1EA14BFFF8EB}"/>
            </a:ext>
          </a:extLst>
        </xdr:cNvPr>
        <xdr:cNvSpPr txBox="1"/>
      </xdr:nvSpPr>
      <xdr:spPr>
        <a:xfrm>
          <a:off x="12784668" y="878651"/>
          <a:ext cx="2079036" cy="9181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KE" sz="1600" b="1">
              <a:solidFill>
                <a:schemeClr val="accent5"/>
              </a:solidFill>
              <a:latin typeface="+mn-lt"/>
              <a:ea typeface="+mn-ea"/>
              <a:cs typeface="+mn-cs"/>
            </a:rPr>
            <a:t>Common Method of Killing</a:t>
          </a:r>
          <a:endParaRPr lang="en-US" sz="1600" b="1">
            <a:solidFill>
              <a:schemeClr val="accent5"/>
            </a:solidFill>
            <a:latin typeface="+mn-lt"/>
            <a:ea typeface="+mn-ea"/>
            <a:cs typeface="+mn-cs"/>
          </a:endParaRPr>
        </a:p>
        <a:p>
          <a:pPr marL="0" indent="0" algn="ctr"/>
          <a:r>
            <a:rPr lang="en-US" sz="1600" b="1">
              <a:solidFill>
                <a:sysClr val="windowText" lastClr="000000"/>
              </a:solidFill>
              <a:latin typeface="+mn-lt"/>
              <a:ea typeface="+mn-ea"/>
              <a:cs typeface="+mn-cs"/>
            </a:rPr>
            <a:t>Stabbing</a:t>
          </a:r>
          <a:endParaRPr lang="en-KE" sz="1600" b="1">
            <a:solidFill>
              <a:sysClr val="windowText" lastClr="000000"/>
            </a:solidFill>
            <a:latin typeface="+mn-lt"/>
            <a:ea typeface="+mn-ea"/>
            <a:cs typeface="+mn-cs"/>
          </a:endParaRPr>
        </a:p>
      </xdr:txBody>
    </xdr:sp>
    <xdr:clientData/>
  </xdr:twoCellAnchor>
  <xdr:twoCellAnchor>
    <xdr:from>
      <xdr:col>24</xdr:col>
      <xdr:colOff>366888</xdr:colOff>
      <xdr:row>5</xdr:row>
      <xdr:rowOff>9407</xdr:rowOff>
    </xdr:from>
    <xdr:to>
      <xdr:col>27</xdr:col>
      <xdr:colOff>188148</xdr:colOff>
      <xdr:row>10</xdr:row>
      <xdr:rowOff>18814</xdr:rowOff>
    </xdr:to>
    <xdr:sp macro="" textlink="">
      <xdr:nvSpPr>
        <xdr:cNvPr id="33" name="TextBox 32">
          <a:extLst>
            <a:ext uri="{FF2B5EF4-FFF2-40B4-BE49-F238E27FC236}">
              <a16:creationId xmlns:a16="http://schemas.microsoft.com/office/drawing/2014/main" id="{FB4635A5-24FD-42DE-87EA-6DB7E796E406}"/>
            </a:ext>
          </a:extLst>
        </xdr:cNvPr>
        <xdr:cNvSpPr txBox="1"/>
      </xdr:nvSpPr>
      <xdr:spPr>
        <a:xfrm>
          <a:off x="15042444" y="903111"/>
          <a:ext cx="1655704" cy="9031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chemeClr val="accent5"/>
              </a:solidFill>
              <a:latin typeface="+mn-lt"/>
              <a:ea typeface="+mn-ea"/>
              <a:cs typeface="+mn-cs"/>
            </a:rPr>
            <a:t>Common murder scene</a:t>
          </a:r>
        </a:p>
        <a:p>
          <a:pPr marL="0" indent="0" algn="ctr"/>
          <a:r>
            <a:rPr lang="en-US" sz="1600" b="1">
              <a:solidFill>
                <a:sysClr val="windowText" lastClr="000000"/>
              </a:solidFill>
              <a:latin typeface="+mn-lt"/>
              <a:ea typeface="+mn-ea"/>
              <a:cs typeface="+mn-cs"/>
            </a:rPr>
            <a:t>Home</a:t>
          </a:r>
          <a:endParaRPr lang="en-KE" sz="1600" b="1">
            <a:solidFill>
              <a:sysClr val="windowText" lastClr="000000"/>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2</xdr:row>
      <xdr:rowOff>80010</xdr:rowOff>
    </xdr:from>
    <xdr:to>
      <xdr:col>32</xdr:col>
      <xdr:colOff>83820</xdr:colOff>
      <xdr:row>23</xdr:row>
      <xdr:rowOff>121920</xdr:rowOff>
    </xdr:to>
    <xdr:graphicFrame macro="">
      <xdr:nvGraphicFramePr>
        <xdr:cNvPr id="2" name="Chart 1">
          <a:extLst>
            <a:ext uri="{FF2B5EF4-FFF2-40B4-BE49-F238E27FC236}">
              <a16:creationId xmlns:a16="http://schemas.microsoft.com/office/drawing/2014/main" id="{66FF7EB1-6C69-B114-A357-AB07634F7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533400</xdr:colOff>
      <xdr:row>7</xdr:row>
      <xdr:rowOff>0</xdr:rowOff>
    </xdr:from>
    <xdr:to>
      <xdr:col>7</xdr:col>
      <xdr:colOff>243840</xdr:colOff>
      <xdr:row>21</xdr:row>
      <xdr:rowOff>20955</xdr:rowOff>
    </xdr:to>
    <mc:AlternateContent xmlns:mc="http://schemas.openxmlformats.org/markup-compatibility/2006" xmlns:a14="http://schemas.microsoft.com/office/drawing/2010/main">
      <mc:Choice Requires="a14">
        <xdr:graphicFrame macro="">
          <xdr:nvGraphicFramePr>
            <xdr:cNvPr id="3" name="type_of_femicide">
              <a:extLst>
                <a:ext uri="{FF2B5EF4-FFF2-40B4-BE49-F238E27FC236}">
                  <a16:creationId xmlns:a16="http://schemas.microsoft.com/office/drawing/2014/main" id="{A2479BBC-D0B7-631E-5CF1-057A6942D24D}"/>
                </a:ext>
              </a:extLst>
            </xdr:cNvPr>
            <xdr:cNvGraphicFramePr/>
          </xdr:nvGraphicFramePr>
          <xdr:xfrm>
            <a:off x="0" y="0"/>
            <a:ext cx="0" cy="0"/>
          </xdr:xfrm>
          <a:graphic>
            <a:graphicData uri="http://schemas.microsoft.com/office/drawing/2010/slicer">
              <sle:slicer xmlns:sle="http://schemas.microsoft.com/office/drawing/2010/slicer" name="type_of_femicide"/>
            </a:graphicData>
          </a:graphic>
        </xdr:graphicFrame>
      </mc:Choice>
      <mc:Fallback xmlns="">
        <xdr:sp macro="" textlink="">
          <xdr:nvSpPr>
            <xdr:cNvPr id="0" name=""/>
            <xdr:cNvSpPr>
              <a:spLocks noTextEdit="1"/>
            </xdr:cNvSpPr>
          </xdr:nvSpPr>
          <xdr:spPr>
            <a:xfrm>
              <a:off x="4632960" y="1280160"/>
              <a:ext cx="1828800" cy="2581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1188720</xdr:colOff>
      <xdr:row>1</xdr:row>
      <xdr:rowOff>163830</xdr:rowOff>
    </xdr:from>
    <xdr:to>
      <xdr:col>15</xdr:col>
      <xdr:colOff>1051560</xdr:colOff>
      <xdr:row>16</xdr:row>
      <xdr:rowOff>163830</xdr:rowOff>
    </xdr:to>
    <xdr:graphicFrame macro="">
      <xdr:nvGraphicFramePr>
        <xdr:cNvPr id="2" name="Chart 1">
          <a:extLst>
            <a:ext uri="{FF2B5EF4-FFF2-40B4-BE49-F238E27FC236}">
              <a16:creationId xmlns:a16="http://schemas.microsoft.com/office/drawing/2014/main" id="{2447EC36-E742-8505-C666-B167E5B46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548640</xdr:colOff>
      <xdr:row>1</xdr:row>
      <xdr:rowOff>156210</xdr:rowOff>
    </xdr:from>
    <xdr:to>
      <xdr:col>9</xdr:col>
      <xdr:colOff>777240</xdr:colOff>
      <xdr:row>16</xdr:row>
      <xdr:rowOff>156210</xdr:rowOff>
    </xdr:to>
    <xdr:graphicFrame macro="">
      <xdr:nvGraphicFramePr>
        <xdr:cNvPr id="3" name="Chart 2">
          <a:extLst>
            <a:ext uri="{FF2B5EF4-FFF2-40B4-BE49-F238E27FC236}">
              <a16:creationId xmlns:a16="http://schemas.microsoft.com/office/drawing/2014/main" id="{F002D673-89A2-62D0-A197-EBFDF0C96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495300</xdr:colOff>
      <xdr:row>2</xdr:row>
      <xdr:rowOff>148590</xdr:rowOff>
    </xdr:from>
    <xdr:to>
      <xdr:col>5</xdr:col>
      <xdr:colOff>274320</xdr:colOff>
      <xdr:row>17</xdr:row>
      <xdr:rowOff>148590</xdr:rowOff>
    </xdr:to>
    <xdr:graphicFrame macro="">
      <xdr:nvGraphicFramePr>
        <xdr:cNvPr id="2" name="Chart 1">
          <a:extLst>
            <a:ext uri="{FF2B5EF4-FFF2-40B4-BE49-F238E27FC236}">
              <a16:creationId xmlns:a16="http://schemas.microsoft.com/office/drawing/2014/main" id="{FBDFAEB3-52F7-81BC-3F46-C7F367762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15240</xdr:colOff>
      <xdr:row>2</xdr:row>
      <xdr:rowOff>3810</xdr:rowOff>
    </xdr:from>
    <xdr:to>
      <xdr:col>11</xdr:col>
      <xdr:colOff>320040</xdr:colOff>
      <xdr:row>17</xdr:row>
      <xdr:rowOff>3810</xdr:rowOff>
    </xdr:to>
    <xdr:graphicFrame macro="">
      <xdr:nvGraphicFramePr>
        <xdr:cNvPr id="2" name="Chart 1">
          <a:extLst>
            <a:ext uri="{FF2B5EF4-FFF2-40B4-BE49-F238E27FC236}">
              <a16:creationId xmlns:a16="http://schemas.microsoft.com/office/drawing/2014/main" id="{DCF4C2A6-3E09-A074-68A5-1A3A6036A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190500</xdr:colOff>
      <xdr:row>14</xdr:row>
      <xdr:rowOff>76200</xdr:rowOff>
    </xdr:from>
    <xdr:to>
      <xdr:col>19</xdr:col>
      <xdr:colOff>190500</xdr:colOff>
      <xdr:row>28</xdr:row>
      <xdr:rowOff>97155</xdr:rowOff>
    </xdr:to>
    <mc:AlternateContent xmlns:mc="http://schemas.openxmlformats.org/markup-compatibility/2006">
      <mc:Choice xmlns:a14="http://schemas.microsoft.com/office/drawing/2010/main" Requires="a14">
        <xdr:graphicFrame macro="">
          <xdr:nvGraphicFramePr>
            <xdr:cNvPr id="4" name="suspect relationship">
              <a:extLst>
                <a:ext uri="{FF2B5EF4-FFF2-40B4-BE49-F238E27FC236}">
                  <a16:creationId xmlns:a16="http://schemas.microsoft.com/office/drawing/2014/main" id="{AF0E3FE5-A30C-F101-0B8C-2463CF84D49F}"/>
                </a:ext>
              </a:extLst>
            </xdr:cNvPr>
            <xdr:cNvGraphicFramePr/>
          </xdr:nvGraphicFramePr>
          <xdr:xfrm>
            <a:off x="0" y="0"/>
            <a:ext cx="0" cy="0"/>
          </xdr:xfrm>
          <a:graphic>
            <a:graphicData uri="http://schemas.microsoft.com/office/drawing/2010/slicer">
              <sle:slicer xmlns:sle="http://schemas.microsoft.com/office/drawing/2010/slicer" name="suspect relationship"/>
            </a:graphicData>
          </a:graphic>
        </xdr:graphicFrame>
      </mc:Choice>
      <mc:Fallback>
        <xdr:sp macro="" textlink="">
          <xdr:nvSpPr>
            <xdr:cNvPr id="0" name=""/>
            <xdr:cNvSpPr>
              <a:spLocks noTextEdit="1"/>
            </xdr:cNvSpPr>
          </xdr:nvSpPr>
          <xdr:spPr>
            <a:xfrm>
              <a:off x="11102340" y="2636520"/>
              <a:ext cx="1828800" cy="2581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274320</xdr:colOff>
      <xdr:row>0</xdr:row>
      <xdr:rowOff>68580</xdr:rowOff>
    </xdr:from>
    <xdr:to>
      <xdr:col>16</xdr:col>
      <xdr:colOff>274320</xdr:colOff>
      <xdr:row>14</xdr:row>
      <xdr:rowOff>89535</xdr:rowOff>
    </xdr:to>
    <mc:AlternateContent xmlns:mc="http://schemas.openxmlformats.org/markup-compatibility/2006">
      <mc:Choice xmlns:a14="http://schemas.microsoft.com/office/drawing/2010/main" Requires="a14">
        <xdr:graphicFrame macro="">
          <xdr:nvGraphicFramePr>
            <xdr:cNvPr id="5" name="murder_scene">
              <a:extLst>
                <a:ext uri="{FF2B5EF4-FFF2-40B4-BE49-F238E27FC236}">
                  <a16:creationId xmlns:a16="http://schemas.microsoft.com/office/drawing/2014/main" id="{C86B641D-765B-B4F2-42F9-9BCCC32564F1}"/>
                </a:ext>
              </a:extLst>
            </xdr:cNvPr>
            <xdr:cNvGraphicFramePr/>
          </xdr:nvGraphicFramePr>
          <xdr:xfrm>
            <a:off x="0" y="0"/>
            <a:ext cx="0" cy="0"/>
          </xdr:xfrm>
          <a:graphic>
            <a:graphicData uri="http://schemas.microsoft.com/office/drawing/2010/slicer">
              <sle:slicer xmlns:sle="http://schemas.microsoft.com/office/drawing/2010/slicer" name="murder_scene"/>
            </a:graphicData>
          </a:graphic>
        </xdr:graphicFrame>
      </mc:Choice>
      <mc:Fallback>
        <xdr:sp macro="" textlink="">
          <xdr:nvSpPr>
            <xdr:cNvPr id="0" name=""/>
            <xdr:cNvSpPr>
              <a:spLocks noTextEdit="1"/>
            </xdr:cNvSpPr>
          </xdr:nvSpPr>
          <xdr:spPr>
            <a:xfrm>
              <a:off x="9357360" y="68580"/>
              <a:ext cx="1828800" cy="2581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449580</xdr:colOff>
      <xdr:row>0</xdr:row>
      <xdr:rowOff>0</xdr:rowOff>
    </xdr:from>
    <xdr:to>
      <xdr:col>19</xdr:col>
      <xdr:colOff>449580</xdr:colOff>
      <xdr:row>14</xdr:row>
      <xdr:rowOff>20955</xdr:rowOff>
    </xdr:to>
    <mc:AlternateContent xmlns:mc="http://schemas.openxmlformats.org/markup-compatibility/2006">
      <mc:Choice xmlns:a14="http://schemas.microsoft.com/office/drawing/2010/main" Requires="a14">
        <xdr:graphicFrame macro="">
          <xdr:nvGraphicFramePr>
            <xdr:cNvPr id="6" name="status_on_article_date">
              <a:extLst>
                <a:ext uri="{FF2B5EF4-FFF2-40B4-BE49-F238E27FC236}">
                  <a16:creationId xmlns:a16="http://schemas.microsoft.com/office/drawing/2014/main" id="{6428002B-C0E8-43E0-14E0-D39332475425}"/>
                </a:ext>
              </a:extLst>
            </xdr:cNvPr>
            <xdr:cNvGraphicFramePr/>
          </xdr:nvGraphicFramePr>
          <xdr:xfrm>
            <a:off x="0" y="0"/>
            <a:ext cx="0" cy="0"/>
          </xdr:xfrm>
          <a:graphic>
            <a:graphicData uri="http://schemas.microsoft.com/office/drawing/2010/slicer">
              <sle:slicer xmlns:sle="http://schemas.microsoft.com/office/drawing/2010/slicer" name="status_on_article_date"/>
            </a:graphicData>
          </a:graphic>
        </xdr:graphicFrame>
      </mc:Choice>
      <mc:Fallback>
        <xdr:sp macro="" textlink="">
          <xdr:nvSpPr>
            <xdr:cNvPr id="0" name=""/>
            <xdr:cNvSpPr>
              <a:spLocks noTextEdit="1"/>
            </xdr:cNvSpPr>
          </xdr:nvSpPr>
          <xdr:spPr>
            <a:xfrm>
              <a:off x="11361420" y="0"/>
              <a:ext cx="1828800" cy="2581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106680</xdr:colOff>
      <xdr:row>2</xdr:row>
      <xdr:rowOff>26670</xdr:rowOff>
    </xdr:from>
    <xdr:to>
      <xdr:col>13</xdr:col>
      <xdr:colOff>396240</xdr:colOff>
      <xdr:row>17</xdr:row>
      <xdr:rowOff>26670</xdr:rowOff>
    </xdr:to>
    <xdr:graphicFrame macro="">
      <xdr:nvGraphicFramePr>
        <xdr:cNvPr id="2" name="Chart 1">
          <a:extLst>
            <a:ext uri="{FF2B5EF4-FFF2-40B4-BE49-F238E27FC236}">
              <a16:creationId xmlns:a16="http://schemas.microsoft.com/office/drawing/2014/main" id="{9D294F75-9354-73C4-C4ED-4C30D7B049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480060</xdr:colOff>
      <xdr:row>14</xdr:row>
      <xdr:rowOff>163830</xdr:rowOff>
    </xdr:from>
    <xdr:to>
      <xdr:col>11</xdr:col>
      <xdr:colOff>175260</xdr:colOff>
      <xdr:row>29</xdr:row>
      <xdr:rowOff>163830</xdr:rowOff>
    </xdr:to>
    <xdr:graphicFrame macro="">
      <xdr:nvGraphicFramePr>
        <xdr:cNvPr id="3" name="Chart 2">
          <a:extLst>
            <a:ext uri="{FF2B5EF4-FFF2-40B4-BE49-F238E27FC236}">
              <a16:creationId xmlns:a16="http://schemas.microsoft.com/office/drawing/2014/main" id="{173BB569-5C4F-E92A-46E7-D319E53D9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441960</xdr:colOff>
      <xdr:row>2</xdr:row>
      <xdr:rowOff>7620</xdr:rowOff>
    </xdr:from>
    <xdr:to>
      <xdr:col>22</xdr:col>
      <xdr:colOff>121920</xdr:colOff>
      <xdr:row>16</xdr:row>
      <xdr:rowOff>28575</xdr:rowOff>
    </xdr:to>
    <mc:AlternateContent xmlns:mc="http://schemas.openxmlformats.org/markup-compatibility/2006" xmlns:a14="http://schemas.microsoft.com/office/drawing/2010/main">
      <mc:Choice Requires="a14">
        <xdr:graphicFrame macro="">
          <xdr:nvGraphicFramePr>
            <xdr:cNvPr id="4" name="county">
              <a:extLst>
                <a:ext uri="{FF2B5EF4-FFF2-40B4-BE49-F238E27FC236}">
                  <a16:creationId xmlns:a16="http://schemas.microsoft.com/office/drawing/2014/main" id="{FE8510C4-E64F-F675-A249-451C4F3EABDD}"/>
                </a:ext>
              </a:extLst>
            </xdr:cNvPr>
            <xdr:cNvGraphicFramePr/>
          </xdr:nvGraphicFramePr>
          <xdr:xfrm>
            <a:off x="0" y="0"/>
            <a:ext cx="0" cy="0"/>
          </xdr:xfrm>
          <a:graphic>
            <a:graphicData uri="http://schemas.microsoft.com/office/drawing/2010/slicer">
              <sle:slicer xmlns:sle="http://schemas.microsoft.com/office/drawing/2010/slicer" name="county"/>
            </a:graphicData>
          </a:graphic>
        </xdr:graphicFrame>
      </mc:Choice>
      <mc:Fallback xmlns="">
        <xdr:sp macro="" textlink="">
          <xdr:nvSpPr>
            <xdr:cNvPr id="0" name=""/>
            <xdr:cNvSpPr>
              <a:spLocks noTextEdit="1"/>
            </xdr:cNvSpPr>
          </xdr:nvSpPr>
          <xdr:spPr>
            <a:xfrm>
              <a:off x="10805160" y="373380"/>
              <a:ext cx="1828800" cy="2581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236220</xdr:colOff>
      <xdr:row>2</xdr:row>
      <xdr:rowOff>15240</xdr:rowOff>
    </xdr:from>
    <xdr:to>
      <xdr:col>17</xdr:col>
      <xdr:colOff>304800</xdr:colOff>
      <xdr:row>16</xdr:row>
      <xdr:rowOff>36195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E94240A6-7B37-7756-838F-BB44C8364D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39200" y="381000"/>
              <a:ext cx="1828800" cy="2581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541020</xdr:colOff>
      <xdr:row>3</xdr:row>
      <xdr:rowOff>102870</xdr:rowOff>
    </xdr:from>
    <xdr:to>
      <xdr:col>11</xdr:col>
      <xdr:colOff>533400</xdr:colOff>
      <xdr:row>18</xdr:row>
      <xdr:rowOff>102870</xdr:rowOff>
    </xdr:to>
    <xdr:graphicFrame macro="">
      <xdr:nvGraphicFramePr>
        <xdr:cNvPr id="2" name="Chart 1">
          <a:extLst>
            <a:ext uri="{FF2B5EF4-FFF2-40B4-BE49-F238E27FC236}">
              <a16:creationId xmlns:a16="http://schemas.microsoft.com/office/drawing/2014/main" id="{0623F866-48D5-BFC9-1217-383DCBD12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647700</xdr:colOff>
      <xdr:row>14</xdr:row>
      <xdr:rowOff>160020</xdr:rowOff>
    </xdr:from>
    <xdr:to>
      <xdr:col>5</xdr:col>
      <xdr:colOff>579120</xdr:colOff>
      <xdr:row>22</xdr:row>
      <xdr:rowOff>68580</xdr:rowOff>
    </xdr:to>
    <mc:AlternateContent xmlns:mc="http://schemas.openxmlformats.org/markup-compatibility/2006" xmlns:tsle="http://schemas.microsoft.com/office/drawing/2012/timeslicer">
      <mc:Choice Requires="tsle">
        <xdr:graphicFrame macro="">
          <xdr:nvGraphicFramePr>
            <xdr:cNvPr id="2" name="published_date">
              <a:extLst>
                <a:ext uri="{FF2B5EF4-FFF2-40B4-BE49-F238E27FC236}">
                  <a16:creationId xmlns:a16="http://schemas.microsoft.com/office/drawing/2014/main" id="{7FD65492-9264-A420-97D0-C67D49A0708F}"/>
                </a:ext>
              </a:extLst>
            </xdr:cNvPr>
            <xdr:cNvGraphicFramePr/>
          </xdr:nvGraphicFramePr>
          <xdr:xfrm>
            <a:off x="0" y="0"/>
            <a:ext cx="0" cy="0"/>
          </xdr:xfrm>
          <a:graphic>
            <a:graphicData uri="http://schemas.microsoft.com/office/drawing/2012/timeslicer">
              <tsle:timeslicer name="published_date"/>
            </a:graphicData>
          </a:graphic>
        </xdr:graphicFrame>
      </mc:Choice>
      <mc:Fallback xmlns="">
        <xdr:sp macro="" textlink="">
          <xdr:nvSpPr>
            <xdr:cNvPr id="0" name=""/>
            <xdr:cNvSpPr>
              <a:spLocks noTextEdit="1"/>
            </xdr:cNvSpPr>
          </xdr:nvSpPr>
          <xdr:spPr>
            <a:xfrm>
              <a:off x="1539240" y="2720340"/>
              <a:ext cx="3337560" cy="1371600"/>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xdr:twoCellAnchor>
  <xdr:twoCellAnchor>
    <xdr:from>
      <xdr:col>6</xdr:col>
      <xdr:colOff>198120</xdr:colOff>
      <xdr:row>2</xdr:row>
      <xdr:rowOff>118110</xdr:rowOff>
    </xdr:from>
    <xdr:to>
      <xdr:col>13</xdr:col>
      <xdr:colOff>502920</xdr:colOff>
      <xdr:row>17</xdr:row>
      <xdr:rowOff>118110</xdr:rowOff>
    </xdr:to>
    <xdr:graphicFrame macro="">
      <xdr:nvGraphicFramePr>
        <xdr:cNvPr id="3" name="Chart 2">
          <a:extLst>
            <a:ext uri="{FF2B5EF4-FFF2-40B4-BE49-F238E27FC236}">
              <a16:creationId xmlns:a16="http://schemas.microsoft.com/office/drawing/2014/main" id="{B1FB1617-BE43-DE06-1C7C-EBEDEB30C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586740</xdr:colOff>
      <xdr:row>2</xdr:row>
      <xdr:rowOff>72390</xdr:rowOff>
    </xdr:from>
    <xdr:to>
      <xdr:col>11</xdr:col>
      <xdr:colOff>281940</xdr:colOff>
      <xdr:row>17</xdr:row>
      <xdr:rowOff>72390</xdr:rowOff>
    </xdr:to>
    <xdr:graphicFrame macro="">
      <xdr:nvGraphicFramePr>
        <xdr:cNvPr id="2" name="Chart 1">
          <a:extLst>
            <a:ext uri="{FF2B5EF4-FFF2-40B4-BE49-F238E27FC236}">
              <a16:creationId xmlns:a16="http://schemas.microsoft.com/office/drawing/2014/main" id="{D9E13583-BEE4-57A5-AFD4-4B5C4F85C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5.912878587966" createdVersion="8" refreshedVersion="8" minRefreshableVersion="3" recordCount="509" xr:uid="{22269613-CEF9-4FF7-84C6-084AC6721423}">
  <cacheSource type="worksheet">
    <worksheetSource ref="A1:U1048576" sheet="Original data"/>
  </cacheSource>
  <cacheFields count="21">
    <cacheField name="Author Name" numFmtId="0">
      <sharedItems containsBlank="1"/>
    </cacheField>
    <cacheField name="medium" numFmtId="0">
      <sharedItems containsBlank="1"/>
    </cacheField>
    <cacheField name="published_date" numFmtId="14">
      <sharedItems containsNonDate="0" containsDate="1" containsString="0" containsBlank="1" minDate="2016-01-01T00:00:00" maxDate="2023-12-07T00:00:00"/>
    </cacheField>
    <cacheField name="type_of_murder" numFmtId="0">
      <sharedItems containsBlank="1" count="2">
        <s v="Femicide"/>
        <m/>
      </sharedItems>
    </cacheField>
    <cacheField name="name_of_victim" numFmtId="0">
      <sharedItems containsBlank="1" count="399">
        <s v="Damaris kibe"/>
        <s v="Not Provided"/>
        <s v="Joyce Aluoch"/>
        <s v="Rose Wekesa"/>
        <s v="Naomi Tuitoek"/>
        <s v="Diana Chemutai (Chelele)"/>
        <s v="Caroline Kirui"/>
        <s v="Emmy Chepkoech Mitey"/>
        <s v="Faith Chepkoech"/>
        <s v="Abigail Wafula"/>
        <s v="Feophe Ekas"/>
        <s v="Sara Nyanyama"/>
        <s v="Mildred Wanyonyi"/>
        <s v="Irene Sifuna"/>
        <s v="Sarah Chebet"/>
        <s v="Helen Namalwa"/>
        <s v="Margaret Kamanga"/>
        <s v="Eunice Ojuro"/>
        <s v="Eunice Akisa"/>
        <s v="Caroline Nabwire"/>
        <s v="Zipporah Nkirote"/>
        <s v="Mercy Chebet"/>
        <s v="Peris Jemaiyo"/>
        <s v="Marion Cheruiyot"/>
        <s v="Agnes Tirop"/>
        <s v="Damaris Muthee"/>
        <s v="Monica Jepto"/>
        <s v="Pauline Kagendo"/>
        <s v="Naomi Warunji"/>
        <s v="Janet Wambeti Njogu"/>
        <s v="Teresa Muthoni"/>
        <s v="Rosemary Nyaga"/>
        <s v="Nancy Muthoni"/>
        <s v=" Josephine Karimi"/>
        <s v="Nasimiyu"/>
        <s v="Eunice Atieno Olal"/>
        <s v="Sharon Otieno"/>
        <s v="Phoebe Kamire"/>
        <s v="Beryl Atieno"/>
        <s v="Susan Adhiambo Otieno"/>
        <s v="Eunice Aoko"/>
        <s v="Mary Kwamboka"/>
        <s v="Milca Mwangi"/>
        <s v="Michel Awuor "/>
        <s v="Linda Olero"/>
        <s v="Maureen Akinyi"/>
        <s v="Mary Achieng"/>
        <s v="Emily Chepkemboiâ€™"/>
        <s v="Winfred Opha"/>
        <s v="Celestine Nduku kioko"/>
        <s v="Salome Kanini"/>
        <s v="Priscilla Wangeci"/>
        <s v="Florence Okwach"/>
        <s v="Mary Wnjiku"/>
        <s v="Caroline Wanjiku"/>
        <s v="Jennifer Wambua"/>
        <s v="Cynthia Chesang Chepkuto."/>
        <s v="Ann Njeri"/>
        <s v="Faith Njambi"/>
        <s v="Gertrude Wayua Mutiso_x000a_"/>
        <s v="Selina Ikambi Anasi"/>
        <s v="Margret Khayere"/>
        <s v="Mollyne Lubanga"/>
        <s v="Susan Mirimo Musa"/>
        <s v="Daphine Maloba"/>
        <s v="Carolyne Anota Mukutu"/>
        <s v="Christine Maonga"/>
        <s v="Petrolina Mungayi"/>
        <s v="Metrine Naimiyu"/>
        <s v="Florence Nakonjio"/>
        <s v="Virginia Khavakali"/>
        <s v="Lydia Khachiti"/>
        <s v="Rose Atieno"/>
        <s v="Consolata Masitsa"/>
        <s v="Rose Cherono "/>
        <s v="Faith Chepngeno Kirui"/>
        <s v="Kobia Maina"/>
        <s v="Anna Chepkwony"/>
        <s v="Rachel Rotich"/>
        <s v="Caroline Koech"/>
        <s v="Irene Chelagat"/>
        <s v="Shauline Akot"/>
        <s v="Vivian Atieno"/>
        <s v="Felista Awino"/>
        <s v="Faith Vicky Owuor"/>
        <s v="Rose Njoki"/>
        <s v="Edda Kanana"/>
        <s v="Irene Kananu"/>
        <s v="Yvonne Njeri"/>
        <s v="Rosemary Kanina"/>
        <s v="Lucy Njambi"/>
        <s v="Grace Wamnjiru"/>
        <s v="Rachel Wanjiku"/>
        <s v="Mary Wambui Kamangara"/>
        <s v="Peninah Njoki"/>
        <s v="Jane Nduta"/>
        <s v="Felister Wariara"/>
        <s v="Priscilla"/>
        <s v="Pauline Wakasa"/>
        <s v="Catherine Nyokabi"/>
        <s v="Margaret Ngina"/>
        <s v="Celestine Muthengei"/>
        <s v="Philomena Njeri"/>
        <s v="Esther Nyaga"/>
        <s v="Everlyn Wanjiru"/>
        <s v="Esther Wambui"/>
        <s v="Purity Wangechi"/>
        <s v="Alice Njeri "/>
        <s v="Risper Ndunge"/>
        <s v="Rosemary Mugere"/>
        <s v="Phylis Ngina Gachohi"/>
        <s v="Mercy Mugure"/>
        <s v="Alice Wangechi"/>
        <s v="Pendo Karisa"/>
        <s v="Risper Chizi"/>
        <s v="Agata Wanjira Njeru"/>
        <s v="Rehema Auma"/>
        <s v="Damaris Njeri"/>
        <s v="Virginia Wambui"/>
        <s v="Jedidah Wanjiru"/>
        <s v="Carol Mbote"/>
        <s v="Beth Karimi"/>
        <s v="Millicent Wangeci Gitari"/>
        <s v="Millicent Muthoni"/>
        <s v="Charity Wangui"/>
        <s v="Phylis Wanjira Muriuki"/>
        <s v="Joyce Nginya"/>
        <s v="Ann Njoki Irungu"/>
        <s v="Jane Wanjiru Murenga"/>
        <s v="Cynthia Mayaka"/>
        <s v="Vennah Kemunto"/>
        <s v="Christine Nyananga"/>
        <s v="Diana Ondieki"/>
        <s v="Elvinah Moracha"/>
        <s v="Maureen Monchari"/>
        <s v="Shyleen Mokeira"/>
        <s v="Dorika Ntabuto"/>
        <s v="Jessica Moraa"/>
        <s v="Esther Nyambusi"/>
        <s v="Irine Nyakwara"/>
        <s v="Alice Kamunde"/>
        <s v="Lucy Boke"/>
        <s v="Caroline Omollo"/>
        <s v="Salina"/>
        <s v="Veronica Achieng'"/>
        <s v="Cheryl Akinyi"/>
        <s v="Adhiambo"/>
        <s v="Achieng"/>
        <s v="Mercy Akinyi"/>
        <s v="Merciline Awino"/>
        <s v="Marion Ajwang'"/>
        <s v="Mercy Dache"/>
        <s v="Millicent Ouma"/>
        <s v="Stella Makaa Makuthu"/>
        <s v="Elizabeth Kivuva"/>
        <s v="Ciiru Murimi"/>
        <s v="Daisy Mbaluka Mbathe"/>
        <s v="Beatrice Nthenya"/>
        <s v="Joyce Mwnede"/>
        <s v="Mary Nzambi"/>
        <s v="Kwekwe Nyanje"/>
        <s v="Riziki Hamisi"/>
        <s v="Lucy Atieno"/>
        <s v="Mary Wanjiku Kanyi"/>
        <s v="Grace Wamaitha"/>
        <s v="Carol Nduta"/>
        <s v="Mercy Talam"/>
        <s v="Joyce Syombua"/>
        <s v="Shiphira Mukami"/>
        <s v="Janet Nyaga"/>
        <s v="EKN"/>
        <s v="Esther Mwongela"/>
        <s v="Joyce Kaswi"/>
        <s v="Elizabeth Koki"/>
        <s v="Mercy Gichuhi"/>
        <s v="Faith Mueni Mutinga"/>
        <s v="Irene Wambua"/>
        <s v="Ndaisi Wavinya"/>
        <s v="Eunice Syokau"/>
        <s v="Jackline Mutindi"/>
        <s v="Rose Ngina"/>
        <s v="Ann Makau"/>
        <s v="Halima Mohamed"/>
        <s v="Safo Wako "/>
        <s v="Dorcas Kaguri"/>
        <s v="Alice Kinya"/>
        <s v="Roseline Munala"/>
        <s v="Poly Kathambi"/>
        <s v="Grace Mugure"/>
        <s v="Anne Kanariu"/>
        <s v="Anne Kathure"/>
        <s v="Tabitha Nkatha"/>
        <s v=" Beatrice Gatwiri"/>
        <s v="Vera Kanario"/>
        <s v="Faith Kinya"/>
        <s v="Janet Awuor"/>
        <s v="Rael Boke Mwita"/>
        <s v="Evelyn Musira"/>
        <s v="Maureen Moraa Kiriago"/>
        <s v=" Yvonne Akinyi"/>
        <s v="Martha"/>
        <s v="Peninah Kaimenyi"/>
        <s v="Beatrice Wambui"/>
        <s v="Ann Mughoi"/>
        <s v="Ruth Mavete Mutiso"/>
        <s v="Emaily Masinza"/>
        <s v="Eznas Ipale"/>
        <s v="Anna Kambua"/>
        <s v="Margaret Wanjiru"/>
        <s v="Teresia Wambui Ndirangu"/>
        <s v="Joyce Wambui"/>
        <s v="Jane Wambui"/>
        <s v="Milkah Muthoni"/>
        <s v="Beatrice Muthoni"/>
        <s v="Esther Ayenee"/>
        <s v="Christine Ruguru"/>
        <s v="Jedida Wambui Muthengi"/>
        <s v="Judy Wanjiru Gacheru"/>
        <s v="Lydia Chege"/>
        <s v="Sarah Wambui"/>
        <s v="Millicent Wanjiru"/>
        <s v="Mary Njeri"/>
        <s v="Lucy Wanjiru"/>
        <s v="Wanjiku Njambi_x000a_"/>
        <s v="Magdalene Wangechi "/>
        <s v="Sumeya Sadik"/>
        <s v="Wambui Kabiru"/>
        <s v="Mercy Keino"/>
        <s v="Careen Chepchumba"/>
        <s v="Mercy Muthethya Ngali"/>
        <s v="Carolyne Chanjirah"/>
        <s v="Nelius Nduku"/>
        <s v="Peris Agumbi"/>
        <s v="Linda Wanjiku Irungu"/>
        <s v="AMM"/>
        <s v="Charity Mukami"/>
        <s v="Nancy Wanza"/>
        <s v="Priscillah Waithera"/>
        <s v="Grace Wangeci"/>
        <s v="Edinas Nyainda "/>
        <s v="Jackline Asiko"/>
        <s v="Joyce Wangari"/>
        <s v="Grace Nduta Mwaura"/>
        <s v="Achieng Ochieng"/>
        <s v="Viola Awuor"/>
        <s v="Grace Njeri"/>
        <s v="Lydia Nyaboke Onano"/>
        <s v="Ann Wanjohi"/>
        <s v="Anne Wanjohi"/>
        <s v="Gabriela Maina"/>
        <s v="Diana Mumbi Mwangi"/>
        <s v="Ann Gathoni"/>
        <s v="Monica Nyawira Kimani"/>
        <s v="Grace Adhiambo"/>
        <s v="Beryl Adhiambo Ouma"/>
        <s v="Wanjiru"/>
        <s v="Hellen Kwamboka"/>
        <s v="Eunice Adhiambo"/>
        <s v="Priscila Cherono"/>
        <s v="Edidah Wanjiku"/>
        <s v="Catherine Mwove"/>
        <s v="Sheila Njeri Murage"/>
        <s v="Abbisseneh Katungu"/>
        <s v="Charity Cheboi"/>
        <s v="Velvine Nungari"/>
        <s v="Monicah Katunge Katee"/>
        <s v="Faith Nyatichi"/>
        <s v="Kate Mitchell"/>
        <s v="Carol Imbatu"/>
        <s v="Snorine Ambrose"/>
        <s v="Rahab Gathoni"/>
        <s v="Vanitah Nikesh"/>
        <s v="Maggy"/>
        <s v="Pamela Asesa"/>
        <s v="Naneu Muthoni"/>
        <s v="Wangethi Chege"/>
        <s v="Rhoda Machuma Chepchumba "/>
        <s v="Lucy Wanjiku Maina"/>
        <s v="June Jerop Kangogo"/>
        <s v="Doreen"/>
        <s v="Viona Achieng"/>
        <s v="Mary Nanjala Indimuli"/>
        <s v="Margaret Muchemi "/>
        <s v="Mary Wanja"/>
        <s v="Esuron Phoebe"/>
        <s v="Brenda Bosibori"/>
        <s v="Susan Wanjiru Kihiu"/>
        <s v="Maureen"/>
        <s v="Rose Owuor"/>
        <s v="Jacinta Nyambura"/>
        <s v="Susan Njeri Kinuthia"/>
        <s v="Beatrice Mutura"/>
        <s v="Cynthia Chelagat"/>
        <s v="Jane Njoki"/>
        <s v="Elizabeth Wanjiru"/>
        <s v="Irene Jepchumba"/>
        <s v="Trizza Wanjiru"/>
        <s v="Amina Jere"/>
        <s v="Sharon Mmbone"/>
        <s v="Caren Chepkurui"/>
        <s v="Eunice Wambui"/>
        <s v="Wietar Kerubo"/>
        <s v="Damaris Mbugua"/>
        <s v="Mercy Chepkurui"/>
        <s v="Carol Chepchirchir"/>
        <s v="Veronica Wachuka"/>
        <s v="Lucy Njeri"/>
        <s v="Lucy Nyira"/>
        <s v="Eunice Wangui"/>
        <s v="Ann Nyambura"/>
        <s v="Lucy Waithira"/>
        <s v="Leah Nasuhu Terewa"/>
        <s v="Leah Oloo"/>
        <s v="Beatrice Wangari Karanja "/>
        <s v="Mercy Njeri Mbatia"/>
        <s v="Diana Githomi"/>
        <s v="Sarah Nafula"/>
        <s v="Beth Mwihaki"/>
        <s v="Jane Wangari"/>
        <s v="Mary Nyambura"/>
        <s v="Martha Waithera"/>
        <s v="Njeri Kamande"/>
        <s v="Mary Njeri Kamande"/>
        <s v="Alice Njeri"/>
        <s v="Veronicah Wanjiru"/>
        <s v="Winnie Chepkurui"/>
        <s v="Jasmine Njoki"/>
        <s v="Nancy Cherono"/>
        <s v="Edna Kurgat"/>
        <s v="Faith Chepkurui"/>
        <s v="Florence Jepkoech"/>
        <s v="Caroline Jerotich"/>
        <s v="Rispa Jelimo"/>
        <s v=" Christine Chelegat"/>
        <s v="Adah Nyambura"/>
        <s v="Nancy Nyarangi"/>
        <s v="Agnes Kwamboka Nyagwachi"/>
        <s v="Mary Wangui "/>
        <s v="Lucy Wanjiku"/>
        <s v="Teresiah Wanjiru"/>
        <s v="Elizabeth Wanjiku"/>
        <s v="Consolata Wambui"/>
        <s v="Margaret Wairimu"/>
        <s v="Jane Waitherero"/>
        <s v="yvonne Mwendwa"/>
        <s v="Catherin Wambui"/>
        <s v="Esther wanjiku"/>
        <s v="Zerepiah Gathoni"/>
        <s v="Joan Muthoni"/>
        <s v="Mary Wangui"/>
        <s v="Grace Nyambura"/>
        <s v="Catherine Nyambura"/>
        <s v="Lydia Nyaguthii"/>
        <s v="Judy Wangui "/>
        <s v="Peris Nyaguthii "/>
        <s v="Linnet Onyango"/>
        <s v="Valerie Apondi"/>
        <s v="Anne Owuor"/>
        <s v="Maureen Aoko"/>
        <s v="Lucy Awuor"/>
        <s v="Margaret Auma"/>
        <s v="Jackline Akinyi"/>
        <s v="Sarah Owino"/>
        <s v="Caroline Akinyi"/>
        <s v="Diana Mkandoe Maganga"/>
        <s v="Miriam Awino"/>
        <s v="Teckla Shighadi"/>
        <s v="Mary Mwamtungu"/>
        <s v="Rabai Dumal Elema"/>
        <s v="Ann Kambura"/>
        <s v="Agnes Chepkorir Kosgei"/>
        <s v="Scholastica Mmbihi"/>
        <s v="Alice Wangu Kamau"/>
        <s v="Aznath Kerubo"/>
        <s v="Esther Wangui"/>
        <s v="Fenny Bosibori"/>
        <s v="Prisca Cheruto"/>
        <s v="Caren Chebet"/>
        <s v="Nancy Chelimo"/>
        <s v="Winnie Akimat"/>
        <s v="Margaret Kobilo"/>
        <s v="Esther Achieng"/>
        <s v="Viverline Jemutai"/>
        <s v="Fiona Kisuya"/>
        <s v="Ivy Wangechi"/>
        <s v="Khanali Mwonobe"/>
        <s v="Gloria Jepleiting Sangutei"/>
        <s v="Robina Moraa"/>
        <s v="Emma Wanyota"/>
        <s v="Staicy Achieng Nabiso"/>
        <s v="Diana Wekesa"/>
        <s v="Hilda Kosgei"/>
        <s v="Stacy Chemutai"/>
        <s v="Sheila Jepkemboi Kirwa"/>
        <s v="Mary Chesang"/>
        <s v="Everline Achai"/>
        <s v="Lydia Cheruiyot"/>
        <s v="Sheila Cherop "/>
        <m/>
      </sharedItems>
    </cacheField>
    <cacheField name="age" numFmtId="0">
      <sharedItems containsString="0" containsBlank="1" containsNumber="1" minValue="6" maxValue="95" count="66">
        <m/>
        <n v="24"/>
        <n v="27"/>
        <n v="20"/>
        <n v="45"/>
        <n v="25"/>
        <n v="38"/>
        <n v="16"/>
        <n v="28"/>
        <n v="37"/>
        <n v="33"/>
        <n v="42"/>
        <n v="26"/>
        <n v="22"/>
        <n v="23"/>
        <n v="80"/>
        <n v="93"/>
        <n v="44"/>
        <n v="58"/>
        <n v="39"/>
        <n v="46"/>
        <n v="18"/>
        <n v="48"/>
        <n v="21"/>
        <n v="32"/>
        <n v="6"/>
        <n v="79"/>
        <n v="10"/>
        <n v="34"/>
        <n v="40"/>
        <n v="29"/>
        <n v="35"/>
        <n v="54"/>
        <n v="53"/>
        <n v="73"/>
        <n v="65"/>
        <n v="76"/>
        <n v="95"/>
        <n v="81"/>
        <n v="19"/>
        <n v="30"/>
        <n v="52"/>
        <n v="66"/>
        <n v="50"/>
        <n v="57"/>
        <n v="9"/>
        <n v="12"/>
        <n v="17"/>
        <n v="68"/>
        <n v="14"/>
        <n v="31"/>
        <n v="36"/>
        <n v="70"/>
        <n v="56"/>
        <n v="90"/>
        <n v="43"/>
        <n v="47"/>
        <n v="75"/>
        <n v="60"/>
        <n v="41"/>
        <n v="11"/>
        <n v="13"/>
        <n v="15"/>
        <n v="71"/>
        <n v="51"/>
        <n v="32.894230769230766"/>
      </sharedItems>
      <fieldGroup base="5">
        <rangePr startNum="6" endNum="95" groupInterval="10"/>
        <groupItems count="11">
          <s v="(blank)"/>
          <s v="6-16"/>
          <s v="16-26"/>
          <s v="26-36"/>
          <s v="36-46"/>
          <s v="46-56"/>
          <s v="56-66"/>
          <s v="66-76"/>
          <s v="76-86"/>
          <s v="86-96"/>
          <s v="&gt;96"/>
        </groupItems>
      </fieldGroup>
    </cacheField>
    <cacheField name="date_of_murder" numFmtId="14">
      <sharedItems containsNonDate="0" containsDate="1" containsString="0" containsBlank="1" minDate="2005-05-12T00:00:00" maxDate="2023-05-31T00:00:00"/>
    </cacheField>
    <cacheField name="name_of_suspect" numFmtId="0">
      <sharedItems containsBlank="1"/>
    </cacheField>
    <cacheField name="suspect relationship" numFmtId="0">
      <sharedItems containsBlank="1" count="9">
        <s v="Husband"/>
        <s v="Ex-Husband"/>
        <s v="Ex-Boyfriend"/>
        <s v="Boyfriend"/>
        <s v="Stranger"/>
        <s v="Family Member"/>
        <s v="Friend"/>
        <s v="Not Provided"/>
        <m/>
      </sharedItems>
    </cacheField>
    <cacheField name="type_of_femicide" numFmtId="0">
      <sharedItems containsBlank="1" count="4">
        <s v="Intimate"/>
        <s v="Not Provided"/>
        <s v="Non-intimate"/>
        <m/>
      </sharedItems>
    </cacheField>
    <cacheField name="murder_scene" numFmtId="0">
      <sharedItems containsBlank="1" count="7">
        <s v="home"/>
        <s v="Not Provided"/>
        <s v="Public Space"/>
        <s v="school"/>
        <s v="Other"/>
        <s v="Workplace"/>
        <m/>
      </sharedItems>
    </cacheField>
    <cacheField name="mode_of_killing" numFmtId="0">
      <sharedItems containsBlank="1"/>
    </cacheField>
    <cacheField name="circumstance" numFmtId="0">
      <sharedItems containsBlank="1" count="45">
        <s v="Not Provided"/>
        <s v="Argument"/>
        <s v="jealousy"/>
        <s v="divorce/separation"/>
        <s v="Domestic wrangle"/>
        <s v="Others"/>
        <s v="Organized crime"/>
        <s v="divorce"/>
        <s v="breakup"/>
        <s v="found her in the company of another man, a fight broke out"/>
        <s v="Woman dumped him"/>
        <s v="robbery with violence"/>
        <s v="Denying him conjugal rights"/>
        <s v="Accused of infidelity"/>
        <s v="man claimed that his wife was having extramarital affairs"/>
        <s v="unkown"/>
        <s v="altercation "/>
        <s v="Quarrel"/>
        <s v="deceived her by claiming to have found her lost phone"/>
        <s v="denied conjugal rights"/>
        <s v="Drunk"/>
        <s v="quarrel over sale of beans."/>
        <s v="domestic quarrel over shopping money"/>
        <s v="angered he could not marry her because they were relatives"/>
        <s v="Domestic quarrel"/>
        <s v="denied him access to the Sh11,500 monthly support from Red Cross Society "/>
        <s v="payment disagreement"/>
        <s v="wealth possesion"/>
        <s v="the two were heard arguing about bhang proceeds"/>
        <s v="quarrelling over a plate of food"/>
        <s v="Denied sex"/>
        <s v="domestic fight"/>
        <s v="domestic argument"/>
        <s v="The rider made further advances and, when ignored, brandished a knife, "/>
        <s v="love gone sour"/>
        <s v="threatening to walk away and quit the marriage"/>
        <s v="upset by his wifeâ€™s action to ditch him over constant threats to her life."/>
        <s v="domestic scuffle"/>
        <s v="Denied to marry her"/>
        <s v="mistrust in the relationship"/>
        <s v="argument during a drinking spree"/>
        <s v="Robbery"/>
        <s v="received information that his girlfriend was spotted with another man "/>
        <s v="Family dispute"/>
        <m/>
      </sharedItems>
    </cacheField>
    <cacheField name="status_on_article_date" numFmtId="0">
      <sharedItems containsBlank="1" count="10">
        <s v="Not Provided"/>
        <s v="under investigation"/>
        <s v="Ongoing hearing"/>
        <s v="both are dead"/>
        <s v="Ongoing Court Proceedings"/>
        <s v="Murder-suicide"/>
        <s v="Suspect beaten to death"/>
        <s v="case in court"/>
        <s v="Suspect lynched to death"/>
        <m/>
      </sharedItems>
    </cacheField>
    <cacheField name="court_date_(first_appearance)" numFmtId="0">
      <sharedItems containsNonDate="0" containsDate="1" containsString="0" containsBlank="1" minDate="2005-08-13T00:00:00" maxDate="2023-11-16T00:00:00"/>
    </cacheField>
    <cacheField name="verdict_date" numFmtId="14">
      <sharedItems containsNonDate="0" containsDate="1" containsString="0" containsBlank="1" minDate="2016-06-24T00:00:00" maxDate="2023-06-02T00:00:00"/>
    </cacheField>
    <cacheField name="verdict" numFmtId="0">
      <sharedItems containsBlank="1"/>
    </cacheField>
    <cacheField name="years_of_sentence" numFmtId="2">
      <sharedItems containsString="0" containsBlank="1" containsNumber="1" containsInteger="1" minValue="2" maxValue="40"/>
    </cacheField>
    <cacheField name="days_to_verdict" numFmtId="1">
      <sharedItems containsString="0" containsBlank="1" containsNumber="1" containsInteger="1" minValue="0" maxValue="4061"/>
    </cacheField>
    <cacheField name="area" numFmtId="0">
      <sharedItems containsBlank="1"/>
    </cacheField>
    <cacheField name="county" numFmtId="0">
      <sharedItems containsBlank="1" count="54">
        <s v="Not Provided"/>
        <s v="Baringo"/>
        <s v="Bomet"/>
        <s v="Bungoma"/>
        <s v="Busia"/>
        <s v="Eldoret"/>
        <s v="Elgeyo Marakwet"/>
        <s v="Embu"/>
        <s v="Garissa"/>
        <s v="Homa Bay"/>
        <s v="Homabay"/>
        <s v="Imenti South"/>
        <s v="Isiolo"/>
        <s v="Kajiado"/>
        <s v="Kakamega"/>
        <s v="Kapsabet"/>
        <s v="Kericho"/>
        <s v="Kiambu"/>
        <s v="Kilifi"/>
        <s v="Kirinyaga"/>
        <s v="Kisii"/>
        <s v="Kisumu"/>
        <s v="Kitui"/>
        <s v="Kwale"/>
        <s v="Laikipia"/>
        <s v="Lamu"/>
        <s v="Machakos"/>
        <s v="Makueni"/>
        <s v="Mandera"/>
        <s v="Marsabit"/>
        <s v="Meru"/>
        <s v="Migori"/>
        <s v="Mombasa"/>
        <s v="Muranga"/>
        <s v="Nairobi"/>
        <s v="Naivasha"/>
        <s v="Nakuru"/>
        <s v="Nandi"/>
        <s v="Nanyuki"/>
        <s v="Narok"/>
        <s v="Nyamira"/>
        <s v="Nyandarua"/>
        <s v="Nyeri"/>
        <s v="Siaya"/>
        <s v="Taita Taveta"/>
        <s v="Tana River"/>
        <s v="Tharaka Nithi"/>
        <s v="Tran Nzoia"/>
        <s v="Trans Nzoia"/>
        <s v="Turkana"/>
        <s v="Uasin Gishu"/>
        <s v="Vihiga"/>
        <s v="West Pokot"/>
        <m/>
      </sharedItems>
    </cacheField>
  </cacheFields>
  <extLst>
    <ext xmlns:x14="http://schemas.microsoft.com/office/spreadsheetml/2009/9/main" uri="{725AE2AE-9491-48be-B2B4-4EB974FC3084}">
      <x14:pivotCacheDefinition pivotCacheId="8245370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6.770234490737" createdVersion="8" refreshedVersion="8" minRefreshableVersion="3" recordCount="507" xr:uid="{D9EF4DF8-A8EC-4CF2-9744-DB6C973DB113}">
  <cacheSource type="worksheet">
    <worksheetSource name="new_data"/>
  </cacheSource>
  <cacheFields count="25">
    <cacheField name="Author Name" numFmtId="0">
      <sharedItems/>
    </cacheField>
    <cacheField name="medium" numFmtId="0">
      <sharedItems count="25">
        <s v="The Star "/>
        <s v="Citizen Digital"/>
        <s v="Not Provided"/>
        <s v="Standard Media"/>
        <s v="Standard Digital "/>
        <s v="Daily Nation "/>
        <s v="Citizen TV"/>
        <s v="Standard digital"/>
        <s v="Nairobi News"/>
        <s v="The East African"/>
        <s v="The Standard (kenya)"/>
        <s v="The Nation"/>
        <s v="MediaMax Network"/>
        <s v="KBC"/>
        <s v="K24 Digital"/>
        <s v="Tuko News"/>
        <s v="Daily Active"/>
        <s v=" K24 Digital"/>
        <s v="Daily Nation Youtube"/>
        <s v="SDE"/>
        <s v="The Star"/>
        <s v="Mpasho"/>
        <s v="Nation"/>
        <s v="Ghetto Radio"/>
        <s v="People Daily"/>
      </sharedItems>
    </cacheField>
    <cacheField name="published_date" numFmtId="14">
      <sharedItems containsNonDate="0" containsDate="1" containsString="0" containsBlank="1" minDate="2016-01-01T00:00:00" maxDate="2023-12-07T00:00:00" count="419">
        <d v="2019-07-03T00:00:00"/>
        <d v="2022-07-04T00:00:00"/>
        <d v="2022-05-17T00:00:00"/>
        <d v="2016-08-25T00:00:00"/>
        <m/>
        <d v="2016-11-17T00:00:00"/>
        <d v="2018-09-10T00:00:00"/>
        <d v="2019-05-12T00:00:00"/>
        <d v="2021-10-02T00:00:00"/>
        <d v="2022-03-31T00:00:00"/>
        <d v="2023-01-10T00:00:00"/>
        <d v="2023-11-30T00:00:00"/>
        <d v="2017-04-20T00:00:00"/>
        <d v="2017-04-13T00:00:00"/>
        <d v="2018-01-28T00:00:00"/>
        <d v="2018-02-23T00:00:00"/>
        <d v="2018-07-14T00:00:00"/>
        <d v="2018-10-14T00:00:00"/>
        <d v="2018-10-30T00:00:00"/>
        <d v="2023-08-01T00:00:00"/>
        <d v="2020-04-13T00:00:00"/>
        <d v="2020-10-15T00:00:00"/>
        <d v="2021-11-14T00:00:00"/>
        <d v="2021-05-06T00:00:00"/>
        <d v="2021-06-24T00:00:00"/>
        <d v="2023-11-29T00:00:00"/>
        <d v="2018-06-11T00:00:00"/>
        <d v="2018-06-25T00:00:00"/>
        <d v="2021-05-21T00:00:00"/>
        <d v="2021-10-18T00:00:00"/>
        <d v="2022-04-19T00:00:00"/>
        <d v="2022-05-07T00:00:00"/>
        <d v="2017-04-02T00:00:00"/>
        <d v="2018-05-11T00:00:00"/>
        <d v="2018-06-13T00:00:00"/>
        <d v="2020-03-06T00:00:00"/>
        <d v="2020-04-27T00:00:00"/>
        <d v="2020-07-12T00:00:00"/>
        <d v="2021-02-07T00:00:00"/>
        <d v="2021-12-09T00:00:00"/>
        <d v="2021-11-09T00:00:00"/>
        <d v="2023-07-06T00:00:00"/>
        <d v="2022-09-12T00:00:00"/>
        <d v="2019-02-27T00:00:00"/>
        <d v="2018-09-07T00:00:00"/>
        <d v="2018-12-15T00:00:00"/>
        <d v="2019-02-03T00:00:00"/>
        <d v="2019-10-11T00:00:00"/>
        <d v="2022-12-05T00:00:00"/>
        <d v="2023-03-20T00:00:00"/>
        <d v="2023-10-07T00:00:00"/>
        <d v="2018-08-06T00:00:00"/>
        <d v="2018-01-03T00:00:00"/>
        <d v="2018-02-22T00:00:00"/>
        <d v="2021-04-14T00:00:00"/>
        <d v="2021-07-05T00:00:00"/>
        <d v="2023-07-11T00:00:00"/>
        <d v="2017-09-25T00:00:00"/>
        <d v="2018-12-20T00:00:00"/>
        <d v="2020-05-04T00:00:00"/>
        <d v="2021-03-30T00:00:00"/>
        <d v="2018-01-11T00:00:00"/>
        <d v="2018-02-19T00:00:00"/>
        <d v="2019-07-11T00:00:00"/>
        <d v="2020-12-13T00:00:00"/>
        <d v="2021-02-21T00:00:00"/>
        <d v="2021-03-17T00:00:00"/>
        <d v="2021-04-30T00:00:00"/>
        <d v="2021-07-29T00:00:00"/>
        <d v="2022-05-06T00:00:00"/>
        <d v="2023-01-13T00:00:00"/>
        <d v="2023-04-22T00:00:00"/>
        <d v="2023-08-08T00:00:00"/>
        <d v="2018-10-29T00:00:00"/>
        <d v="2017-01-21T00:00:00"/>
        <d v="2018-03-13T00:00:00"/>
        <d v="2018-03-31T00:00:00"/>
        <d v="2018-06-08T00:00:00"/>
        <d v="2019-03-23T00:00:00"/>
        <d v="2019-05-07T00:00:00"/>
        <d v="2019-06-04T00:00:00"/>
        <d v="2021-04-27T00:00:00"/>
        <d v="2021-06-02T00:00:00"/>
        <d v="2022-04-25T00:00:00"/>
        <d v="2023-01-03T00:00:00"/>
        <d v="2023-12-05T00:00:00"/>
        <d v="2023-02-28T00:00:00"/>
        <d v="2018-11-29T00:00:00"/>
        <d v="2018-07-06T00:00:00"/>
        <d v="2019-03-01T00:00:00"/>
        <d v="2021-11-08T00:00:00"/>
        <d v="2022-05-05T00:00:00"/>
        <d v="2023-05-03T00:00:00"/>
        <d v="2023-06-07T00:00:00"/>
        <d v="2023-08-23T00:00:00"/>
        <d v="2023-11-28T00:00:00"/>
        <d v="2018-03-20T00:00:00"/>
        <d v="2016-06-05T00:00:00"/>
        <d v="2017-02-27T00:00:00"/>
        <d v="2017-04-10T00:00:00"/>
        <d v="2017-09-18T00:00:00"/>
        <d v="2017-11-05T00:00:00"/>
        <d v="2018-01-16T00:00:00"/>
        <d v="2018-01-26T00:00:00"/>
        <d v="2018-01-29T00:00:00"/>
        <d v="2018-02-07T00:00:00"/>
        <d v="2018-02-20T00:00:00"/>
        <d v="2019-01-29T00:00:00"/>
        <d v="2019-02-25T00:00:00"/>
        <d v="2019-05-27T00:00:00"/>
        <d v="2020-07-29T00:00:00"/>
        <d v="2020-10-20T00:00:00"/>
        <d v="2021-01-07T00:00:00"/>
        <d v="2021-02-04T00:00:00"/>
        <d v="2021-03-31T00:00:00"/>
        <d v="2021-04-07T00:00:00"/>
        <d v="2021-04-17T00:00:00"/>
        <d v="2021-06-10T00:00:00"/>
        <d v="2021-06-16T00:00:00"/>
        <d v="2021-08-03T00:00:00"/>
        <d v="2021-08-25T00:00:00"/>
        <d v="2022-01-06T00:00:00"/>
        <d v="2022-01-18T00:00:00"/>
        <d v="2022-05-15T00:00:00"/>
        <d v="2022-10-30T00:00:00"/>
        <d v="2022-10-29T00:00:00"/>
        <d v="2023-04-24T00:00:00"/>
        <d v="2023-08-29T00:00:00"/>
        <d v="2023-09-20T00:00:00"/>
        <d v="2023-10-22T00:00:00"/>
        <d v="2020-03-13T00:00:00"/>
        <d v="2023-01-30T00:00:00"/>
        <d v="2018-03-06T00:00:00"/>
        <d v="2018-06-03T00:00:00"/>
        <d v="2019-02-17T00:00:00"/>
        <d v="2019-06-02T00:00:00"/>
        <d v="2019-08-12T00:00:00"/>
        <d v="2019-12-20T00:00:00"/>
        <d v="2020-04-18T00:00:00"/>
        <d v="2020-11-18T00:00:00"/>
        <d v="2020-12-12T00:00:00"/>
        <d v="2021-11-30T00:00:00"/>
        <d v="2021-12-20T00:00:00"/>
        <d v="2022-11-03T00:00:00"/>
        <d v="2023-03-03T00:00:00"/>
        <d v="2023-07-03T00:00:00"/>
        <d v="2023-07-04T00:00:00"/>
        <d v="2021-05-03T00:00:00"/>
        <d v="2016-12-19T00:00:00"/>
        <d v="2017-05-26T00:00:00"/>
        <d v="2017-06-15T00:00:00"/>
        <d v="2018-07-22T00:00:00"/>
        <d v="2018-09-26T00:00:00"/>
        <d v="2019-01-19T00:00:00"/>
        <d v="2021-11-17T00:00:00"/>
        <d v="2021-01-15T00:00:00"/>
        <d v="2022-12-29T00:00:00"/>
        <d v="2023-06-22T00:00:00"/>
        <d v="2023-11-11T00:00:00"/>
        <d v="2016-10-18T00:00:00"/>
        <d v="2017-03-07T00:00:00"/>
        <d v="2017-04-06T00:00:00"/>
        <d v="2017-06-11T00:00:00"/>
        <d v="2018-06-21T00:00:00"/>
        <d v="2018-12-18T00:00:00"/>
        <d v="2020-04-11T00:00:00"/>
        <d v="2021-09-30T00:00:00"/>
        <d v="2023-01-24T00:00:00"/>
        <d v="2023-05-01T00:00:00"/>
        <d v="2023-05-24T00:00:00"/>
        <d v="2016-11-29T00:00:00"/>
        <d v="2016-04-29T00:00:00"/>
        <d v="2018-12-21T00:00:00"/>
        <d v="2019-05-09T00:00:00"/>
        <d v="2020-01-10T00:00:00"/>
        <d v="2021-04-13T00:00:00"/>
        <d v="2023-03-24T00:00:00"/>
        <d v="2023-08-18T00:00:00"/>
        <d v="2020-04-29T00:00:00"/>
        <d v="2018-01-18T00:00:00"/>
        <d v="2020-12-06T00:00:00"/>
        <d v="2018-04-12T00:00:00"/>
        <d v="2016-10-04T00:00:00"/>
        <d v="2018-03-05T00:00:00"/>
        <d v="2019-11-16T00:00:00"/>
        <d v="2020-01-22T00:00:00"/>
        <d v="2018-10-12T00:00:00"/>
        <d v="2021-02-20T00:00:00"/>
        <d v="2017-04-21T00:00:00"/>
        <d v="2020-01-02T00:00:00"/>
        <d v="2020-03-19T00:00:00"/>
        <d v="2020-05-09T00:00:00"/>
        <d v="2021-01-25T00:00:00"/>
        <d v="2021-02-11T00:00:00"/>
        <d v="2021-12-07T00:00:00"/>
        <d v="2022-03-29T00:00:00"/>
        <d v="2022-04-08T00:00:00"/>
        <d v="2023-07-01T00:00:00"/>
        <d v="2022-03-27T00:00:00"/>
        <d v="2017-06-03T00:00:00"/>
        <d v="2018-02-26T00:00:00"/>
        <d v="2018-12-08T00:00:00"/>
        <d v="2021-07-28T00:00:00"/>
        <d v="2018-07-10T00:00:00"/>
        <d v="2019-07-02T00:00:00"/>
        <d v="2023-10-17T00:00:00"/>
        <d v="2016-10-05T00:00:00"/>
        <d v="2017-12-24T00:00:00"/>
        <d v="2018-06-29T00:00:00"/>
        <d v="2018-07-16T00:00:00"/>
        <d v="2019-06-20T00:00:00"/>
        <d v="2019-09-15T00:00:00"/>
        <d v="2020-07-06T00:00:00"/>
        <d v="2022-07-08T00:00:00"/>
        <d v="2023-01-19T00:00:00"/>
        <d v="2023-03-26T00:00:00"/>
        <d v="2023-03-30T00:00:00"/>
        <d v="2023-09-28T00:00:00"/>
        <d v="2020-04-17T00:00:00"/>
        <d v="2018-09-21T00:00:00"/>
        <d v="2019-02-24T00:00:00"/>
        <d v="2022-01-10T00:00:00"/>
        <d v="2022-02-20T00:00:00"/>
        <d v="2023-06-28T00:00:00"/>
        <d v="2017-03-26T00:00:00"/>
        <d v="2020-01-05T00:00:00"/>
        <d v="2020-01-21T00:00:00"/>
        <d v="2022-12-16T00:00:00"/>
        <d v="2023-02-03T00:00:00"/>
        <d v="2023-04-04T00:00:00"/>
        <d v="2018-05-30T00:00:00"/>
        <d v="2016-10-03T00:00:00"/>
        <d v="2016-10-26T00:00:00"/>
        <d v="2017-02-28T00:00:00"/>
        <d v="2017-03-28T00:00:00"/>
        <d v="2017-03-30T00:00:00"/>
        <d v="2017-04-24T00:00:00"/>
        <d v="2018-02-05T00:00:00"/>
        <d v="2018-04-04T00:00:00"/>
        <d v="2018-04-10T00:00:00"/>
        <d v="2018-06-18T00:00:00"/>
        <d v="2018-10-18T00:00:00"/>
        <d v="2021-11-23T00:00:00"/>
        <d v="2022-10-05T00:00:00"/>
        <d v="2023-05-11T00:00:00"/>
        <d v="2023-11-26T00:00:00"/>
        <d v="2020-12-01T00:00:00"/>
        <d v="2017-05-25T00:00:00"/>
        <d v="2016-10-07T00:00:00"/>
        <d v="2018-05-22T00:00:00"/>
        <d v="2018-11-30T00:00:00"/>
        <d v="2020-08-11T00:00:00"/>
        <d v="2020-06-29T00:00:00"/>
        <d v="2017-06-08T00:00:00"/>
        <d v="2018-07-27T00:00:00"/>
        <d v="2023-06-01T00:00:00"/>
        <d v="2016-01-01T00:00:00"/>
        <d v="2016-02-16T00:00:00"/>
        <d v="2016-03-05T00:00:00"/>
        <d v="2016-11-22T00:00:00"/>
        <d v="2016-07-25T00:00:00"/>
        <d v="2016-11-10T00:00:00"/>
        <d v="2020-07-30T00:00:00"/>
        <d v="2017-05-18T00:00:00"/>
        <d v="2017-06-04T00:00:00"/>
        <d v="2017-08-21T00:00:00"/>
        <d v="2017-09-17T00:00:00"/>
        <d v="2017-10-24T00:00:00"/>
        <d v="2017-12-18T00:00:00"/>
        <d v="2017-12-28T00:00:00"/>
        <d v="2018-04-07T00:00:00"/>
        <d v="2018-05-07T00:00:00"/>
        <d v="2018-05-15T00:00:00"/>
        <d v="2018-08-16T00:00:00"/>
        <d v="2019-02-12T00:00:00"/>
        <d v="2019-02-22T00:00:00"/>
        <d v="2019-11-08T00:00:00"/>
        <d v="2020-02-11T00:00:00"/>
        <d v="2020-03-23T00:00:00"/>
        <d v="2020-04-21T00:00:00"/>
        <d v="2020-06-04T00:00:00"/>
        <d v="2020-07-23T00:00:00"/>
        <d v="2020-11-20T00:00:00"/>
        <d v="2022-11-22T00:00:00"/>
        <d v="2021-02-24T00:00:00"/>
        <d v="2021-03-21T00:00:00"/>
        <d v="2021-08-13T00:00:00"/>
        <d v="2021-09-15T00:00:00"/>
        <d v="2021-09-28T00:00:00"/>
        <d v="2021-10-14T00:00:00"/>
        <d v="2021-11-22T00:00:00"/>
        <d v="2022-03-04T00:00:00"/>
        <d v="2022-04-02T00:00:00"/>
        <d v="2022-04-24T00:00:00"/>
        <d v="2022-06-09T00:00:00"/>
        <d v="2022-06-30T00:00:00"/>
        <d v="2022-07-21T00:00:00"/>
        <d v="2023-01-09T00:00:00"/>
        <d v="2023-03-06T00:00:00"/>
        <d v="2023-03-05T00:00:00"/>
        <d v="2023-03-17T00:00:00"/>
        <d v="2023-04-05T00:00:00"/>
        <d v="2023-04-25T00:00:00"/>
        <d v="2023-11-01T00:00:00"/>
        <d v="2023-12-06T00:00:00"/>
        <d v="2021-01-26T00:00:00"/>
        <d v="2021-10-19T00:00:00"/>
        <d v="2017-12-15T00:00:00"/>
        <d v="2022-03-06T00:00:00"/>
        <d v="2021-03-20T00:00:00"/>
        <d v="2016-01-18T00:00:00"/>
        <d v="2016-12-08T00:00:00"/>
        <d v="2017-02-13T00:00:00"/>
        <d v="2017-09-20T00:00:00"/>
        <d v="2017-09-27T00:00:00"/>
        <d v="2017-12-12T00:00:00"/>
        <d v="2018-01-05T00:00:00"/>
        <d v="2018-03-15T00:00:00"/>
        <d v="2018-03-21T00:00:00"/>
        <d v="2018-07-25T00:00:00"/>
        <d v="2018-07-13T00:00:00"/>
        <d v="2018-10-06T00:00:00"/>
        <d v="2018-10-21T00:00:00"/>
        <d v="2018-11-07T00:00:00"/>
        <d v="2018-11-23T00:00:00"/>
        <d v="2019-01-20T00:00:00"/>
        <d v="2019-02-04T00:00:00"/>
        <d v="2019-07-06T00:00:00"/>
        <d v="2019-10-05T00:00:00"/>
        <d v="2019-10-08T00:00:00"/>
        <d v="2019-11-19T00:00:00"/>
        <d v="2019-11-26T00:00:00"/>
        <d v="2020-01-01T00:00:00"/>
        <d v="2020-06-23T00:00:00"/>
        <d v="2020-07-19T00:00:00"/>
        <d v="2020-07-28T00:00:00"/>
        <d v="2020-08-01T00:00:00"/>
        <d v="2020-11-08T00:00:00"/>
        <d v="2020-10-17T00:00:00"/>
        <d v="2022-05-20T00:00:00"/>
        <d v="2021-02-01T00:00:00"/>
        <d v="2020-12-31T00:00:00"/>
        <d v="2021-01-31T00:00:00"/>
        <d v="2021-04-19T00:00:00"/>
        <d v="2021-04-05T00:00:00"/>
        <d v="2021-06-01T00:00:00"/>
        <d v="2021-07-31T00:00:00"/>
        <d v="2021-08-23T00:00:00"/>
        <d v="2021-09-01T00:00:00"/>
        <d v="2021-10-23T00:00:00"/>
        <d v="2021-10-06T00:00:00"/>
        <d v="2021-12-16T00:00:00"/>
        <d v="2022-01-05T00:00:00"/>
        <d v="2022-01-08T00:00:00"/>
        <d v="2022-10-13T00:00:00"/>
        <d v="2022-12-14T00:00:00"/>
        <d v="2023-03-08T00:00:00"/>
        <d v="2023-09-27T00:00:00"/>
        <d v="2021-02-10T00:00:00"/>
        <d v="2018-08-02T00:00:00"/>
        <d v="2019-01-14T00:00:00"/>
        <d v="2019-02-18T00:00:00"/>
        <d v="2022-05-23T00:00:00"/>
        <d v="2023-09-08T00:00:00"/>
        <d v="2022-04-07T00:00:00"/>
        <d v="2023-01-11T00:00:00"/>
        <d v="2023-05-05T00:00:00"/>
        <d v="2018-10-05T00:00:00"/>
        <d v="2020-01-26T00:00:00"/>
        <d v="2017-11-20T00:00:00"/>
        <d v="2018-04-26T00:00:00"/>
        <d v="2018-11-12T00:00:00"/>
        <d v="2018-12-16T00:00:00"/>
        <d v="2019-08-29T00:00:00"/>
        <d v="2019-09-27T00:00:00"/>
        <d v="2017-08-20T00:00:00"/>
        <d v="2017-09-02T00:00:00"/>
        <d v="2018-01-31T00:00:00"/>
        <d v="2018-07-23T00:00:00"/>
        <d v="2018-07-24T00:00:00"/>
        <d v="2018-10-25T00:00:00"/>
        <d v="2019-04-15T00:00:00"/>
        <d v="2019-12-12T00:00:00"/>
        <d v="2020-05-30T00:00:00"/>
        <d v="2022-05-26T00:00:00"/>
        <d v="2023-05-29T00:00:00"/>
        <d v="2023-09-05T00:00:00"/>
        <d v="2016-12-15T00:00:00"/>
        <d v="2017-12-09T00:00:00"/>
        <d v="2017-12-26T00:00:00"/>
        <d v="2020-01-04T00:00:00"/>
        <d v="2020-03-01T00:00:00"/>
        <d v="2021-08-26T00:00:00"/>
        <d v="2023-02-13T00:00:00"/>
        <d v="2016-10-25T00:00:00"/>
        <d v="2016-11-24T00:00:00"/>
        <d v="2017-12-27T00:00:00"/>
        <d v="2023-05-25T00:00:00"/>
        <d v="2019-05-25T00:00:00"/>
        <d v="2019-09-25T00:00:00"/>
        <d v="2018-07-07T00:00:00"/>
        <d v="2018-10-31T00:00:00"/>
        <d v="2020-03-07T00:00:00"/>
        <d v="2019-08-18T00:00:00"/>
        <d v="2020-12-11T00:00:00"/>
        <d v="2021-12-24T00:00:00"/>
        <d v="2018-10-03T00:00:00"/>
        <d v="2019-04-11T00:00:00"/>
        <d v="2019-08-07T00:00:00"/>
        <d v="2019-11-06T00:00:00"/>
        <d v="2022-02-07T00:00:00"/>
        <d v="2021-05-27T00:00:00"/>
        <d v="2023-06-26T00:00:00"/>
        <d v="2021-10-08T00:00:00"/>
        <d v="2019-07-29T00:00:00"/>
        <d v="2023-08-15T00:00:00"/>
        <d v="2018-08-17T00:00:00"/>
        <d v="2018-12-27T00:00:00"/>
        <d v="2023-08-22T00:00:00"/>
      </sharedItems>
      <fieldGroup par="24"/>
    </cacheField>
    <cacheField name="type_of_murder" numFmtId="0">
      <sharedItems count="1">
        <s v="Femicide"/>
      </sharedItems>
    </cacheField>
    <cacheField name="name_of_victim" numFmtId="0">
      <sharedItems/>
    </cacheField>
    <cacheField name="age" numFmtId="1">
      <sharedItems containsString="0" containsBlank="1" containsNumber="1" containsInteger="1" minValue="6" maxValue="95"/>
    </cacheField>
    <cacheField name="date_of_murder" numFmtId="14">
      <sharedItems containsNonDate="0" containsDate="1" containsString="0" containsBlank="1" minDate="2005-05-12T00:00:00" maxDate="2023-05-31T00:00:00"/>
    </cacheField>
    <cacheField name="name_of_suspect" numFmtId="0">
      <sharedItems/>
    </cacheField>
    <cacheField name="suspect relationship" numFmtId="0">
      <sharedItems/>
    </cacheField>
    <cacheField name="type_of_femicide" numFmtId="0">
      <sharedItems/>
    </cacheField>
    <cacheField name="murder_scene" numFmtId="0">
      <sharedItems/>
    </cacheField>
    <cacheField name="mode_of_killing" numFmtId="0">
      <sharedItems count="9">
        <s v="other"/>
        <s v="hacked"/>
        <s v="blunt force"/>
        <s v="Not Provided "/>
        <s v="stabbed"/>
        <s v="burned"/>
        <s v="Strangled"/>
        <s v="shot"/>
        <s v="sexual assault"/>
      </sharedItems>
    </cacheField>
    <cacheField name="circumstance" numFmtId="0">
      <sharedItems/>
    </cacheField>
    <cacheField name="status_on_article_date" numFmtId="0">
      <sharedItems/>
    </cacheField>
    <cacheField name="court_date_(first_appearance)" numFmtId="14">
      <sharedItems containsNonDate="0" containsDate="1" containsString="0" containsBlank="1" minDate="2005-08-13T00:00:00" maxDate="2023-11-16T00:00:00"/>
    </cacheField>
    <cacheField name="verdict_date" numFmtId="14">
      <sharedItems containsNonDate="0" containsDate="1" containsString="0" containsBlank="1" minDate="2016-06-24T00:00:00" maxDate="2023-06-02T00:00:00"/>
    </cacheField>
    <cacheField name="verdict" numFmtId="0">
      <sharedItems count="4">
        <s v="guilty"/>
        <s v="Not Provided"/>
        <s v="Not Guilty"/>
        <s v="15 years"/>
      </sharedItems>
    </cacheField>
    <cacheField name="years_of_sentence" numFmtId="1">
      <sharedItems containsString="0" containsBlank="1" containsNumber="1" containsInteger="1" minValue="0" maxValue="40"/>
    </cacheField>
    <cacheField name="days_to_verdict" numFmtId="1">
      <sharedItems containsString="0" containsBlank="1" containsNumber="1" containsInteger="1" minValue="0" maxValue="4061"/>
    </cacheField>
    <cacheField name="area" numFmtId="0">
      <sharedItems/>
    </cacheField>
    <cacheField name="county" numFmtId="0">
      <sharedItems count="47">
        <s v="Not Provided"/>
        <s v="Baringo"/>
        <s v="Bomet"/>
        <s v="Bungoma"/>
        <s v="Busia"/>
        <s v="Uasin Gishu"/>
        <s v="Elgeyo Marakwet"/>
        <s v="Embu"/>
        <s v="Garissa"/>
        <s v="Homa Bay"/>
        <s v="Meru"/>
        <s v="Isiolo"/>
        <s v="Kajiado"/>
        <s v="Kakamega"/>
        <s v="Nandi"/>
        <s v="Kericho"/>
        <s v="Kiambu"/>
        <s v="Kilifi"/>
        <s v="Kirinyaga"/>
        <s v="Kisii"/>
        <s v="Kisumu"/>
        <s v="Kitui"/>
        <s v="Kwale"/>
        <s v="Laikipia"/>
        <s v="Lamu"/>
        <s v="Machakos"/>
        <s v="Makueni"/>
        <s v="Mandera"/>
        <s v="Marsabit"/>
        <s v="Migori"/>
        <s v="Mombasa"/>
        <s v="Murang'a"/>
        <s v="Nairobi"/>
        <s v="Nakuru"/>
        <s v="Nanyuki"/>
        <s v="Narok"/>
        <s v="Nyamira"/>
        <s v="Nyandarua"/>
        <s v="Nyeri"/>
        <s v="Siaya"/>
        <s v="Taita Taveta"/>
        <s v="Tana River"/>
        <s v="Tharaka-Nithi"/>
        <s v="Trans Nzoia"/>
        <s v="Turkana"/>
        <s v="Vihiga"/>
        <s v="West Pokot"/>
      </sharedItems>
    </cacheField>
    <cacheField name="Region" numFmtId="0">
      <sharedItems count="9">
        <s v="Unknown County"/>
        <s v="Rift Valley"/>
        <s v="Western"/>
        <s v="Eastern"/>
        <s v="North Eastern"/>
        <s v="Nyanza"/>
        <s v="Central"/>
        <s v="Coast"/>
        <s v="Nairobi"/>
      </sharedItems>
    </cacheField>
    <cacheField name="Months (published_date)" numFmtId="0" databaseField="0">
      <fieldGroup base="2">
        <rangePr groupBy="months" startDate="2016-01-01T00:00:00" endDate="2023-12-07T00:00:00"/>
        <groupItems count="14">
          <s v="&lt;01/01/2016"/>
          <s v="Jan"/>
          <s v="Feb"/>
          <s v="Mar"/>
          <s v="Apr"/>
          <s v="May"/>
          <s v="Jun"/>
          <s v="Jul"/>
          <s v="Aug"/>
          <s v="Sept"/>
          <s v="Oct"/>
          <s v="Nov"/>
          <s v="Dec"/>
          <s v="&gt;07/12/2023"/>
        </groupItems>
      </fieldGroup>
    </cacheField>
    <cacheField name="Quarters (published_date)" numFmtId="0" databaseField="0">
      <fieldGroup base="2">
        <rangePr groupBy="quarters" startDate="2016-01-01T00:00:00" endDate="2023-12-07T00:00:00"/>
        <groupItems count="6">
          <s v="&lt;01/01/2016"/>
          <s v="Qtr1"/>
          <s v="Qtr2"/>
          <s v="Qtr3"/>
          <s v="Qtr4"/>
          <s v="&gt;07/12/2023"/>
        </groupItems>
      </fieldGroup>
    </cacheField>
    <cacheField name="Years (published_date)" numFmtId="0" databaseField="0">
      <fieldGroup base="2">
        <rangePr groupBy="years" startDate="2016-01-01T00:00:00" endDate="2023-12-07T00:00:00"/>
        <groupItems count="10">
          <s v="&lt;01/01/2016"/>
          <s v="2016"/>
          <s v="2017"/>
          <s v="2018"/>
          <s v="2019"/>
          <s v="2020"/>
          <s v="2021"/>
          <s v="2022"/>
          <s v="2023"/>
          <s v="&gt;07/12/2023"/>
        </groupItems>
      </fieldGroup>
    </cacheField>
  </cacheFields>
  <extLst>
    <ext xmlns:x14="http://schemas.microsoft.com/office/spreadsheetml/2009/9/main" uri="{725AE2AE-9491-48be-B2B4-4EB974FC3084}">
      <x14:pivotCacheDefinition pivotCacheId="1151473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
  <r>
    <s v="Carolyne Kubwa"/>
    <s v="The Star "/>
    <d v="2019-07-03T00:00:00"/>
    <x v="0"/>
    <x v="0"/>
    <x v="0"/>
    <m/>
    <s v="Isaac Kirui"/>
    <x v="0"/>
    <x v="0"/>
    <x v="0"/>
    <s v="other"/>
    <x v="0"/>
    <x v="0"/>
    <m/>
    <d v="2019-07-03T00:00:00"/>
    <s v="guilty"/>
    <m/>
    <n v="2068"/>
    <s v="Not Provided"/>
    <x v="0"/>
  </r>
  <r>
    <s v="Citizen Reporter"/>
    <s v="Citizen Digital"/>
    <d v="2022-07-04T00:00:00"/>
    <x v="0"/>
    <x v="1"/>
    <x v="1"/>
    <m/>
    <s v="Joseph Kiplimo"/>
    <x v="0"/>
    <x v="0"/>
    <x v="0"/>
    <s v="hacked"/>
    <x v="1"/>
    <x v="1"/>
    <m/>
    <m/>
    <s v="Not Provided"/>
    <m/>
    <m/>
    <s v="Not Provided"/>
    <x v="0"/>
  </r>
  <r>
    <s v="Anne Atieno"/>
    <s v="Not Provided"/>
    <d v="2022-05-17T00:00:00"/>
    <x v="0"/>
    <x v="2"/>
    <x v="0"/>
    <m/>
    <s v="Charles Odhiambo"/>
    <x v="0"/>
    <x v="1"/>
    <x v="1"/>
    <s v="blunt force"/>
    <x v="0"/>
    <x v="0"/>
    <m/>
    <m/>
    <s v="guilty"/>
    <m/>
    <m/>
    <s v="Not Provided"/>
    <x v="0"/>
  </r>
  <r>
    <s v=" Annette Wambulwa"/>
    <s v="The Star "/>
    <d v="2016-08-25T00:00:00"/>
    <x v="0"/>
    <x v="3"/>
    <x v="0"/>
    <m/>
    <s v="Storum Miheso"/>
    <x v="0"/>
    <x v="0"/>
    <x v="1"/>
    <s v="Not Provided "/>
    <x v="0"/>
    <x v="0"/>
    <m/>
    <m/>
    <s v="Not Provided"/>
    <m/>
    <m/>
    <s v="Not Provided"/>
    <x v="0"/>
  </r>
  <r>
    <s v="Not Provided"/>
    <s v="Standard Media"/>
    <m/>
    <x v="0"/>
    <x v="4"/>
    <x v="2"/>
    <m/>
    <s v="Not Provided"/>
    <x v="0"/>
    <x v="1"/>
    <x v="1"/>
    <s v="Not Provided "/>
    <x v="0"/>
    <x v="0"/>
    <m/>
    <m/>
    <s v="Not Provided"/>
    <m/>
    <m/>
    <s v="Baringo County"/>
    <x v="1"/>
  </r>
  <r>
    <s v="Carole Maina"/>
    <s v="The Star "/>
    <d v="2016-11-17T00:00:00"/>
    <x v="0"/>
    <x v="5"/>
    <x v="0"/>
    <m/>
    <s v="Eric Musila"/>
    <x v="1"/>
    <x v="0"/>
    <x v="0"/>
    <s v="Not Provided "/>
    <x v="1"/>
    <x v="0"/>
    <d v="2016-12-16T00:00:00"/>
    <d v="2019-05-03T00:00:00"/>
    <s v="Not Guilty"/>
    <m/>
    <n v="1212"/>
    <s v="Kapkwen"/>
    <x v="2"/>
  </r>
  <r>
    <s v="Gilbert Kimutai"/>
    <s v="Standard Digital "/>
    <d v="2018-09-10T00:00:00"/>
    <x v="0"/>
    <x v="1"/>
    <x v="1"/>
    <m/>
    <s v="Not Provided"/>
    <x v="2"/>
    <x v="0"/>
    <x v="0"/>
    <s v="stabbed"/>
    <x v="2"/>
    <x v="1"/>
    <m/>
    <m/>
    <s v="Not Provided"/>
    <m/>
    <m/>
    <s v="Chemaner location"/>
    <x v="2"/>
  </r>
  <r>
    <s v="Vitalis Kimutai"/>
    <s v="Daily Nation "/>
    <d v="2019-05-12T00:00:00"/>
    <x v="0"/>
    <x v="6"/>
    <x v="3"/>
    <d v="2019-05-11T00:00:00"/>
    <s v="Gilbert Kipngetich Kirui"/>
    <x v="0"/>
    <x v="0"/>
    <x v="0"/>
    <s v="hacked"/>
    <x v="1"/>
    <x v="1"/>
    <m/>
    <m/>
    <s v="Not Provided"/>
    <m/>
    <m/>
    <s v="Konoin"/>
    <x v="2"/>
  </r>
  <r>
    <s v=" Stella Cherono"/>
    <s v="Daily Nation "/>
    <m/>
    <x v="0"/>
    <x v="7"/>
    <x v="4"/>
    <m/>
    <s v="Robert Tonui "/>
    <x v="3"/>
    <x v="0"/>
    <x v="0"/>
    <s v="burned"/>
    <x v="3"/>
    <x v="0"/>
    <m/>
    <m/>
    <s v="Not Provided"/>
    <m/>
    <m/>
    <s v="Seanin"/>
    <x v="2"/>
  </r>
  <r>
    <s v="Paul Ruto"/>
    <s v="Citizen Digital"/>
    <d v="2021-10-02T00:00:00"/>
    <x v="0"/>
    <x v="1"/>
    <x v="5"/>
    <m/>
    <s v="Nickson Sang"/>
    <x v="0"/>
    <x v="0"/>
    <x v="0"/>
    <s v="stabbed"/>
    <x v="1"/>
    <x v="1"/>
    <m/>
    <m/>
    <s v="Not Provided"/>
    <m/>
    <m/>
    <s v="Kipreres"/>
    <x v="2"/>
  </r>
  <r>
    <s v="Not Provided"/>
    <s v="Not Provided"/>
    <d v="2022-03-31T00:00:00"/>
    <x v="0"/>
    <x v="8"/>
    <x v="5"/>
    <m/>
    <s v="Gilbert Langat"/>
    <x v="0"/>
    <x v="1"/>
    <x v="0"/>
    <s v="stabbed"/>
    <x v="0"/>
    <x v="0"/>
    <m/>
    <m/>
    <s v="Not Provided"/>
    <m/>
    <m/>
    <s v="Mauche estate within Bomet Township"/>
    <x v="2"/>
  </r>
  <r>
    <s v="Kna"/>
    <s v="The Star "/>
    <d v="2023-01-10T00:00:00"/>
    <x v="0"/>
    <x v="1"/>
    <x v="6"/>
    <m/>
    <s v="Not Provided"/>
    <x v="4"/>
    <x v="2"/>
    <x v="2"/>
    <s v="Strangled"/>
    <x v="0"/>
    <x v="1"/>
    <m/>
    <m/>
    <s v="Not Provided"/>
    <m/>
    <m/>
    <s v="Tembwo trading centre"/>
    <x v="2"/>
  </r>
  <r>
    <s v="Paul Ruto"/>
    <s v="Citizen Digital"/>
    <d v="2023-11-30T00:00:00"/>
    <x v="0"/>
    <x v="1"/>
    <x v="0"/>
    <m/>
    <s v="Niphael Kiprotich Ngetich"/>
    <x v="0"/>
    <x v="0"/>
    <x v="0"/>
    <s v="blunt force"/>
    <x v="4"/>
    <x v="1"/>
    <m/>
    <m/>
    <s v="Not Provided"/>
    <m/>
    <m/>
    <s v="Korara area"/>
    <x v="2"/>
  </r>
  <r>
    <s v="Brian Ojamaa"/>
    <s v="The Star "/>
    <d v="2017-04-20T00:00:00"/>
    <x v="0"/>
    <x v="9"/>
    <x v="7"/>
    <m/>
    <s v="Kizito Wafula"/>
    <x v="5"/>
    <x v="2"/>
    <x v="0"/>
    <s v="blunt force"/>
    <x v="5"/>
    <x v="0"/>
    <m/>
    <m/>
    <s v="Not Provided"/>
    <m/>
    <m/>
    <s v="Misemwa village"/>
    <x v="3"/>
  </r>
  <r>
    <s v="Brian Ojamaa"/>
    <s v="The Star "/>
    <d v="2017-04-13T00:00:00"/>
    <x v="0"/>
    <x v="10"/>
    <x v="8"/>
    <m/>
    <s v="Alln Osiome"/>
    <x v="0"/>
    <x v="0"/>
    <x v="0"/>
    <s v="stabbed"/>
    <x v="1"/>
    <x v="0"/>
    <m/>
    <m/>
    <s v="Not Provided"/>
    <m/>
    <m/>
    <s v="Sirisia constituency"/>
    <x v="3"/>
  </r>
  <r>
    <s v="Not Provided"/>
    <s v="The Star "/>
    <d v="2018-01-28T00:00:00"/>
    <x v="0"/>
    <x v="11"/>
    <x v="9"/>
    <m/>
    <s v="Ben Wafula"/>
    <x v="0"/>
    <x v="0"/>
    <x v="0"/>
    <s v="blunt force"/>
    <x v="1"/>
    <x v="1"/>
    <m/>
    <m/>
    <s v="Not Provided"/>
    <m/>
    <m/>
    <s v="Not Provided"/>
    <x v="3"/>
  </r>
  <r>
    <s v="Raphael Wanjala"/>
    <s v="Standard Digital "/>
    <d v="2018-02-23T00:00:00"/>
    <x v="0"/>
    <x v="12"/>
    <x v="0"/>
    <m/>
    <s v="Simon Wamalwa"/>
    <x v="3"/>
    <x v="0"/>
    <x v="3"/>
    <s v="stabbed"/>
    <x v="2"/>
    <x v="1"/>
    <m/>
    <m/>
    <s v="Not Provided"/>
    <m/>
    <m/>
    <s v="Sang'alo Institute of Science and Technology"/>
    <x v="3"/>
  </r>
  <r>
    <s v="Brian Ojamaa"/>
    <s v="The Star "/>
    <d v="2018-07-14T00:00:00"/>
    <x v="0"/>
    <x v="1"/>
    <x v="10"/>
    <m/>
    <s v="Jared Nyongesa"/>
    <x v="0"/>
    <x v="0"/>
    <x v="0"/>
    <s v="hacked"/>
    <x v="1"/>
    <x v="1"/>
    <m/>
    <m/>
    <s v="Not Provided"/>
    <m/>
    <m/>
    <s v="Kanduyi vilage"/>
    <x v="3"/>
  </r>
  <r>
    <s v="Brian Ojamaa"/>
    <s v="The Star "/>
    <d v="2018-07-14T00:00:00"/>
    <x v="0"/>
    <x v="1"/>
    <x v="10"/>
    <m/>
    <s v="Jared Nyongesa"/>
    <x v="0"/>
    <x v="0"/>
    <x v="0"/>
    <s v="blunt force"/>
    <x v="1"/>
    <x v="1"/>
    <m/>
    <m/>
    <s v="Not Provided"/>
    <m/>
    <m/>
    <s v="Kanduyi"/>
    <x v="3"/>
  </r>
  <r>
    <s v="Brian Ojamaa"/>
    <s v="The Star "/>
    <d v="2018-10-14T00:00:00"/>
    <x v="0"/>
    <x v="13"/>
    <x v="0"/>
    <m/>
    <s v="Not Provided"/>
    <x v="4"/>
    <x v="1"/>
    <x v="0"/>
    <s v="stabbed"/>
    <x v="0"/>
    <x v="1"/>
    <m/>
    <m/>
    <s v="Not Provided"/>
    <m/>
    <m/>
    <s v="Not Provided"/>
    <x v="3"/>
  </r>
  <r>
    <s v="Raphael Wanjala"/>
    <s v="Standard Digital "/>
    <d v="2018-10-30T00:00:00"/>
    <x v="0"/>
    <x v="14"/>
    <x v="0"/>
    <m/>
    <s v="Not Provided"/>
    <x v="4"/>
    <x v="1"/>
    <x v="2"/>
    <s v="hacked"/>
    <x v="0"/>
    <x v="1"/>
    <m/>
    <m/>
    <s v="Not Provided"/>
    <m/>
    <m/>
    <s v="Cheptais sub-county"/>
    <x v="3"/>
  </r>
  <r>
    <s v="Not Provided"/>
    <s v="Citizen TV"/>
    <m/>
    <x v="0"/>
    <x v="15"/>
    <x v="11"/>
    <m/>
    <s v="Not Provided"/>
    <x v="3"/>
    <x v="1"/>
    <x v="1"/>
    <s v="Not Provided "/>
    <x v="0"/>
    <x v="0"/>
    <m/>
    <m/>
    <s v="Not Provided"/>
    <m/>
    <m/>
    <s v="Bungoma County"/>
    <x v="3"/>
  </r>
  <r>
    <s v="Tony Wafula"/>
    <s v="The Star "/>
    <d v="2023-08-01T00:00:00"/>
    <x v="0"/>
    <x v="16"/>
    <x v="0"/>
    <m/>
    <s v="Gerald Kamanga"/>
    <x v="0"/>
    <x v="0"/>
    <x v="0"/>
    <s v="blunt force"/>
    <x v="0"/>
    <x v="1"/>
    <m/>
    <m/>
    <s v="Not Provided"/>
    <m/>
    <m/>
    <s v="Wamunyiri village"/>
    <x v="3"/>
  </r>
  <r>
    <s v="Carolyne Kubwa"/>
    <s v="The Star "/>
    <d v="2020-04-13T00:00:00"/>
    <x v="0"/>
    <x v="17"/>
    <x v="0"/>
    <m/>
    <s v="Julius Nyekenye Serikali"/>
    <x v="0"/>
    <x v="0"/>
    <x v="0"/>
    <s v="blunt force"/>
    <x v="1"/>
    <x v="0"/>
    <m/>
    <d v="2020-04-13T00:00:00"/>
    <s v="guilty"/>
    <m/>
    <n v="944"/>
    <s v="Esikulu village"/>
    <x v="4"/>
  </r>
  <r>
    <s v="Annette Wambulwa"/>
    <s v="The Star "/>
    <d v="2020-10-15T00:00:00"/>
    <x v="0"/>
    <x v="18"/>
    <x v="0"/>
    <m/>
    <s v="Antony Paste Obwalo"/>
    <x v="0"/>
    <x v="0"/>
    <x v="0"/>
    <s v="blunt force"/>
    <x v="1"/>
    <x v="0"/>
    <m/>
    <m/>
    <s v="guilty"/>
    <m/>
    <n v="308"/>
    <s v="Okwata village"/>
    <x v="4"/>
  </r>
  <r>
    <s v="Robert Amalemba"/>
    <s v="Standard Digital "/>
    <d v="2021-11-14T00:00:00"/>
    <x v="0"/>
    <x v="19"/>
    <x v="0"/>
    <m/>
    <s v="John Wandera"/>
    <x v="3"/>
    <x v="0"/>
    <x v="0"/>
    <s v="blunt force"/>
    <x v="0"/>
    <x v="2"/>
    <m/>
    <m/>
    <s v="Not Provided"/>
    <m/>
    <m/>
    <s v="Nasemwa village"/>
    <x v="4"/>
  </r>
  <r>
    <s v="Nathan Ochunge "/>
    <s v="Standard digital"/>
    <d v="2021-05-06T00:00:00"/>
    <x v="0"/>
    <x v="20"/>
    <x v="0"/>
    <d v="2021-05-06T00:00:00"/>
    <s v="Not Provided"/>
    <x v="0"/>
    <x v="1"/>
    <x v="0"/>
    <s v="stabbed"/>
    <x v="0"/>
    <x v="0"/>
    <m/>
    <m/>
    <s v="Not Provided"/>
    <m/>
    <m/>
    <s v="Matayos Sub-County"/>
    <x v="4"/>
  </r>
  <r>
    <s v="Callistus Muga"/>
    <s v="Citizen Digital"/>
    <d v="2021-06-24T00:00:00"/>
    <x v="0"/>
    <x v="1"/>
    <x v="0"/>
    <m/>
    <s v="Not Provided"/>
    <x v="0"/>
    <x v="0"/>
    <x v="0"/>
    <s v="shot"/>
    <x v="1"/>
    <x v="3"/>
    <m/>
    <m/>
    <s v="Not Provided"/>
    <m/>
    <m/>
    <s v="Funyula"/>
    <x v="4"/>
  </r>
  <r>
    <s v=" Hilary Kimuyu"/>
    <s v="Nairobi News"/>
    <d v="2023-11-29T00:00:00"/>
    <x v="0"/>
    <x v="21"/>
    <x v="0"/>
    <m/>
    <s v="Constable Maxwell Maina"/>
    <x v="0"/>
    <x v="0"/>
    <x v="0"/>
    <s v="shot"/>
    <x v="0"/>
    <x v="1"/>
    <m/>
    <m/>
    <s v="Not Provided"/>
    <m/>
    <m/>
    <s v="Railways Police Lines"/>
    <x v="5"/>
  </r>
  <r>
    <s v="Stephen Rutto"/>
    <s v="The Star "/>
    <d v="2018-06-11T00:00:00"/>
    <x v="0"/>
    <x v="22"/>
    <x v="12"/>
    <m/>
    <s v="Richard Ruto"/>
    <x v="0"/>
    <x v="0"/>
    <x v="0"/>
    <s v="stabbed"/>
    <x v="1"/>
    <x v="1"/>
    <m/>
    <m/>
    <s v="Not Provided"/>
    <m/>
    <m/>
    <s v="Marakwet East"/>
    <x v="6"/>
  </r>
  <r>
    <s v="Fred Kibor"/>
    <s v="Standard Digital "/>
    <d v="2018-06-25T00:00:00"/>
    <x v="0"/>
    <x v="23"/>
    <x v="13"/>
    <m/>
    <s v="Josphat Cheruiyot"/>
    <x v="0"/>
    <x v="0"/>
    <x v="0"/>
    <s v="hacked"/>
    <x v="1"/>
    <x v="1"/>
    <m/>
    <m/>
    <s v="Not Provided"/>
    <m/>
    <m/>
    <s v="Boe Vilage"/>
    <x v="6"/>
  </r>
  <r>
    <s v="Mireri Junior"/>
    <s v="Standard Digital "/>
    <d v="2021-05-21T00:00:00"/>
    <x v="0"/>
    <x v="1"/>
    <x v="14"/>
    <d v="2021-05-20T00:00:00"/>
    <s v="Not Provided"/>
    <x v="0"/>
    <x v="0"/>
    <x v="0"/>
    <s v="hacked"/>
    <x v="1"/>
    <x v="1"/>
    <m/>
    <m/>
    <s v="Not Provided"/>
    <m/>
    <m/>
    <s v="Tambul village"/>
    <x v="6"/>
  </r>
  <r>
    <s v="Daily Nation"/>
    <s v="The East African"/>
    <d v="2021-10-18T00:00:00"/>
    <x v="0"/>
    <x v="24"/>
    <x v="5"/>
    <m/>
    <s v="Ibrahim Rotich"/>
    <x v="0"/>
    <x v="0"/>
    <x v="0"/>
    <s v="stabbed"/>
    <x v="0"/>
    <x v="2"/>
    <d v="2021-10-18T00:00:00"/>
    <m/>
    <s v="Not Provided"/>
    <m/>
    <m/>
    <s v="Iten town"/>
    <x v="6"/>
  </r>
  <r>
    <s v="Stephen Rutto"/>
    <s v="Standard Digital "/>
    <d v="2022-04-19T00:00:00"/>
    <x v="0"/>
    <x v="25"/>
    <x v="0"/>
    <m/>
    <s v="Eskanda Hailemariam"/>
    <x v="3"/>
    <x v="0"/>
    <x v="0"/>
    <s v="Strangled"/>
    <x v="0"/>
    <x v="1"/>
    <m/>
    <m/>
    <s v="Not Provided"/>
    <m/>
    <m/>
    <s v="Iten town"/>
    <x v="6"/>
  </r>
  <r>
    <s v="Bashir Mbuthia"/>
    <s v="Not Provided"/>
    <d v="2022-05-07T00:00:00"/>
    <x v="0"/>
    <x v="26"/>
    <x v="6"/>
    <m/>
    <s v="Khadiri Khamisi"/>
    <x v="0"/>
    <x v="1"/>
    <x v="0"/>
    <s v="stabbed"/>
    <x v="0"/>
    <x v="0"/>
    <m/>
    <m/>
    <s v="Not Provided"/>
    <m/>
    <m/>
    <s v="Iten"/>
    <x v="6"/>
  </r>
  <r>
    <s v="Anthony Ndwiga"/>
    <s v="Citizen Digital"/>
    <d v="2017-04-02T00:00:00"/>
    <x v="0"/>
    <x v="1"/>
    <x v="15"/>
    <m/>
    <s v="Not Provided"/>
    <x v="4"/>
    <x v="2"/>
    <x v="0"/>
    <s v="sexual assault"/>
    <x v="0"/>
    <x v="1"/>
    <m/>
    <m/>
    <s v="Not Provided"/>
    <m/>
    <m/>
    <s v="Kigumo Village"/>
    <x v="7"/>
  </r>
  <r>
    <s v="Reuben Githinji"/>
    <s v="The Star "/>
    <d v="2018-05-11T00:00:00"/>
    <x v="0"/>
    <x v="27"/>
    <x v="0"/>
    <m/>
    <s v="Edwin Mwenda"/>
    <x v="2"/>
    <x v="0"/>
    <x v="0"/>
    <s v="Not Provided "/>
    <x v="1"/>
    <x v="0"/>
    <m/>
    <m/>
    <s v="Not Provided"/>
    <m/>
    <m/>
    <s v="Njarange village"/>
    <x v="7"/>
  </r>
  <r>
    <s v="Charles Wanyoro"/>
    <s v="Daily Nation "/>
    <d v="2018-06-13T00:00:00"/>
    <x v="0"/>
    <x v="28"/>
    <x v="16"/>
    <m/>
    <s v="Not Provided"/>
    <x v="4"/>
    <x v="1"/>
    <x v="0"/>
    <s v="stabbed"/>
    <x v="6"/>
    <x v="1"/>
    <m/>
    <m/>
    <s v="Not Provided"/>
    <m/>
    <m/>
    <s v="Gitumbi vilage"/>
    <x v="7"/>
  </r>
  <r>
    <s v="George Munene"/>
    <s v="Daily Nation "/>
    <d v="2020-03-06T00:00:00"/>
    <x v="0"/>
    <x v="1"/>
    <x v="17"/>
    <m/>
    <s v="Not Provided"/>
    <x v="6"/>
    <x v="2"/>
    <x v="0"/>
    <s v="Strangled"/>
    <x v="0"/>
    <x v="1"/>
    <m/>
    <m/>
    <s v="Not Provided"/>
    <m/>
    <m/>
    <s v="Njigo village"/>
    <x v="7"/>
  </r>
  <r>
    <s v="Reuben Githinji"/>
    <s v="The Star "/>
    <d v="2020-04-27T00:00:00"/>
    <x v="0"/>
    <x v="29"/>
    <x v="18"/>
    <m/>
    <s v="Not Provided"/>
    <x v="4"/>
    <x v="1"/>
    <x v="2"/>
    <s v="sexual assault"/>
    <x v="0"/>
    <x v="1"/>
    <m/>
    <m/>
    <s v="Not Provided"/>
    <m/>
    <m/>
    <s v="Karurina"/>
    <x v="7"/>
  </r>
  <r>
    <s v="Not Provided"/>
    <s v="Daily Nation "/>
    <d v="2020-07-12T00:00:00"/>
    <x v="0"/>
    <x v="30"/>
    <x v="0"/>
    <m/>
    <s v="Not Provided"/>
    <x v="0"/>
    <x v="0"/>
    <x v="0"/>
    <s v="stabbed"/>
    <x v="1"/>
    <x v="1"/>
    <m/>
    <m/>
    <s v="Not Provided"/>
    <m/>
    <m/>
    <s v="Mbeere"/>
    <x v="7"/>
  </r>
  <r>
    <s v="Cyrus Ombati"/>
    <s v="The Star "/>
    <d v="2021-02-07T00:00:00"/>
    <x v="0"/>
    <x v="1"/>
    <x v="8"/>
    <m/>
    <s v="Not Provided"/>
    <x v="0"/>
    <x v="0"/>
    <x v="0"/>
    <s v="blunt force"/>
    <x v="0"/>
    <x v="1"/>
    <m/>
    <m/>
    <s v="Not Provided"/>
    <m/>
    <m/>
    <s v="Kiamukuyu area"/>
    <x v="7"/>
  </r>
  <r>
    <s v="Muriithi Mugo"/>
    <s v="Standard Digital "/>
    <d v="2021-12-09T00:00:00"/>
    <x v="0"/>
    <x v="31"/>
    <x v="19"/>
    <m/>
    <s v="Dennis Munene"/>
    <x v="3"/>
    <x v="0"/>
    <x v="0"/>
    <s v="Strangled"/>
    <x v="1"/>
    <x v="0"/>
    <m/>
    <d v="2021-12-09T00:00:00"/>
    <s v="guilty"/>
    <n v="7"/>
    <n v="182"/>
    <s v="Kavaruka village"/>
    <x v="7"/>
  </r>
  <r>
    <s v="Muriithi Mugo"/>
    <s v="Standard Digital "/>
    <d v="2021-11-09T00:00:00"/>
    <x v="0"/>
    <x v="32"/>
    <x v="20"/>
    <m/>
    <s v="Luka Njue"/>
    <x v="0"/>
    <x v="0"/>
    <x v="0"/>
    <s v="stabbed"/>
    <x v="1"/>
    <x v="1"/>
    <m/>
    <m/>
    <s v="Not Provided"/>
    <m/>
    <m/>
    <s v="Thau village"/>
    <x v="7"/>
  </r>
  <r>
    <s v="George Munene"/>
    <s v="Daily Nation "/>
    <d v="2023-07-06T00:00:00"/>
    <x v="0"/>
    <x v="33"/>
    <x v="1"/>
    <m/>
    <s v="Boniface Yakulula"/>
    <x v="6"/>
    <x v="2"/>
    <x v="2"/>
    <s v="Not Provided "/>
    <x v="0"/>
    <x v="1"/>
    <m/>
    <m/>
    <s v="Not Provided"/>
    <m/>
    <m/>
    <s v="Kiaragana"/>
    <x v="7"/>
  </r>
  <r>
    <s v="Cyrus Ombati"/>
    <s v="The Star "/>
    <d v="2022-09-12T00:00:00"/>
    <x v="0"/>
    <x v="34"/>
    <x v="13"/>
    <m/>
    <s v="Martin Wekesa"/>
    <x v="0"/>
    <x v="0"/>
    <x v="0"/>
    <s v="blunt force"/>
    <x v="2"/>
    <x v="1"/>
    <m/>
    <m/>
    <s v="Not Provided"/>
    <m/>
    <m/>
    <s v="Garissa town"/>
    <x v="8"/>
  </r>
  <r>
    <s v="Robert Omollo"/>
    <s v="The Star "/>
    <d v="2019-02-27T00:00:00"/>
    <x v="0"/>
    <x v="35"/>
    <x v="0"/>
    <m/>
    <s v="Albert Odhiambo Odongo"/>
    <x v="0"/>
    <x v="0"/>
    <x v="0"/>
    <s v="blunt force"/>
    <x v="1"/>
    <x v="0"/>
    <m/>
    <d v="2019-02-27T00:00:00"/>
    <s v="guilty"/>
    <n v="12"/>
    <n v="1361"/>
    <s v="Kotieno village"/>
    <x v="9"/>
  </r>
  <r>
    <s v="Ruth Mbula"/>
    <s v="Daily Nation "/>
    <d v="2018-09-07T00:00:00"/>
    <x v="0"/>
    <x v="36"/>
    <x v="12"/>
    <m/>
    <s v="Okoth bado"/>
    <x v="3"/>
    <x v="0"/>
    <x v="2"/>
    <s v="stabbed"/>
    <x v="7"/>
    <x v="2"/>
    <d v="2018-09-27T00:00:00"/>
    <m/>
    <s v="Not Provided"/>
    <m/>
    <m/>
    <s v="Rachuonyo"/>
    <x v="9"/>
  </r>
  <r>
    <s v="Nation Reporter"/>
    <s v="Daily Nation "/>
    <d v="2018-12-15T00:00:00"/>
    <x v="0"/>
    <x v="37"/>
    <x v="6"/>
    <m/>
    <s v="Ben Mancha"/>
    <x v="0"/>
    <x v="0"/>
    <x v="0"/>
    <s v="Not Provided "/>
    <x v="1"/>
    <x v="1"/>
    <m/>
    <m/>
    <s v="Not Provided"/>
    <m/>
    <m/>
    <s v="Shauriyako house"/>
    <x v="9"/>
  </r>
  <r>
    <s v="George Odiwuor"/>
    <s v="Daily Nation "/>
    <d v="2019-02-03T00:00:00"/>
    <x v="0"/>
    <x v="38"/>
    <x v="21"/>
    <m/>
    <s v="Paul Ochieng"/>
    <x v="3"/>
    <x v="0"/>
    <x v="0"/>
    <s v="blunt force"/>
    <x v="8"/>
    <x v="1"/>
    <m/>
    <m/>
    <s v="Not Provided"/>
    <m/>
    <m/>
    <s v="Kobita"/>
    <x v="9"/>
  </r>
  <r>
    <s v="George Odiwuor"/>
    <s v="Daily Nation "/>
    <d v="2019-10-11T00:00:00"/>
    <x v="0"/>
    <x v="39"/>
    <x v="0"/>
    <m/>
    <s v="Joshua Obembi"/>
    <x v="3"/>
    <x v="0"/>
    <x v="0"/>
    <s v="stabbed"/>
    <x v="2"/>
    <x v="1"/>
    <m/>
    <m/>
    <s v="Not Provided"/>
    <m/>
    <m/>
    <s v="Ogongo Tir village"/>
    <x v="9"/>
  </r>
  <r>
    <s v="James Omoro"/>
    <s v="Standard digital"/>
    <m/>
    <x v="0"/>
    <x v="40"/>
    <x v="5"/>
    <m/>
    <s v="Not Provided"/>
    <x v="4"/>
    <x v="1"/>
    <x v="2"/>
    <s v="sexual assault"/>
    <x v="0"/>
    <x v="0"/>
    <m/>
    <m/>
    <s v="Not Provided"/>
    <m/>
    <m/>
    <s v="Lwala Sub Location"/>
    <x v="9"/>
  </r>
  <r>
    <s v="Robert Omollo"/>
    <s v="The Star "/>
    <d v="2022-12-05T00:00:00"/>
    <x v="0"/>
    <x v="41"/>
    <x v="8"/>
    <m/>
    <s v="Not Provided"/>
    <x v="3"/>
    <x v="0"/>
    <x v="0"/>
    <s v="stabbed"/>
    <x v="2"/>
    <x v="1"/>
    <m/>
    <m/>
    <s v="Not Provided"/>
    <m/>
    <m/>
    <s v="Rodi Kopany"/>
    <x v="9"/>
  </r>
  <r>
    <s v="Robert Omollo"/>
    <s v="The Star "/>
    <d v="2023-03-20T00:00:00"/>
    <x v="0"/>
    <x v="42"/>
    <x v="22"/>
    <m/>
    <s v="Bernard Ouma"/>
    <x v="0"/>
    <x v="0"/>
    <x v="2"/>
    <s v="sexual assault"/>
    <x v="0"/>
    <x v="1"/>
    <m/>
    <m/>
    <s v="Not Provided"/>
    <m/>
    <m/>
    <s v="Got Rateng"/>
    <x v="9"/>
  </r>
  <r>
    <s v="Not Provided"/>
    <s v="The Standard (kenya)"/>
    <d v="2023-10-07T00:00:00"/>
    <x v="0"/>
    <x v="43"/>
    <x v="14"/>
    <m/>
    <s v="Not Provided"/>
    <x v="0"/>
    <x v="0"/>
    <x v="0"/>
    <s v="hacked"/>
    <x v="0"/>
    <x v="1"/>
    <m/>
    <m/>
    <s v="Not Provided"/>
    <m/>
    <m/>
    <s v="Kodwar B village"/>
    <x v="9"/>
  </r>
  <r>
    <s v="James Omoro"/>
    <s v="Standard Digital "/>
    <d v="2018-08-06T00:00:00"/>
    <x v="0"/>
    <x v="44"/>
    <x v="0"/>
    <m/>
    <s v="Geoffrey Plero"/>
    <x v="0"/>
    <x v="0"/>
    <x v="0"/>
    <s v="blunt force"/>
    <x v="1"/>
    <x v="0"/>
    <m/>
    <d v="2018-08-06T00:00:00"/>
    <s v="guilty"/>
    <n v="20"/>
    <n v="565"/>
    <s v="Koluoch village"/>
    <x v="10"/>
  </r>
  <r>
    <s v="James Omoro"/>
    <s v="Standard Digital "/>
    <d v="2018-01-03T00:00:00"/>
    <x v="0"/>
    <x v="45"/>
    <x v="13"/>
    <m/>
    <s v="Not Provided"/>
    <x v="4"/>
    <x v="0"/>
    <x v="0"/>
    <s v="hacked"/>
    <x v="8"/>
    <x v="1"/>
    <m/>
    <m/>
    <s v="Not Provided"/>
    <m/>
    <m/>
    <s v="Kanyadhere village"/>
    <x v="10"/>
  </r>
  <r>
    <s v="James Omoro"/>
    <s v="Standard Digital "/>
    <d v="2018-02-22T00:00:00"/>
    <x v="0"/>
    <x v="1"/>
    <x v="0"/>
    <m/>
    <s v="Not Provided"/>
    <x v="0"/>
    <x v="0"/>
    <x v="0"/>
    <s v="blunt force"/>
    <x v="0"/>
    <x v="1"/>
    <m/>
    <m/>
    <s v="Not Provided"/>
    <m/>
    <m/>
    <s v="Rachuonyo"/>
    <x v="10"/>
  </r>
  <r>
    <s v="James Omoro"/>
    <s v="Standard digital"/>
    <d v="2021-04-14T00:00:00"/>
    <x v="0"/>
    <x v="46"/>
    <x v="7"/>
    <m/>
    <s v="Not Provided"/>
    <x v="4"/>
    <x v="1"/>
    <x v="0"/>
    <s v="sexual assault"/>
    <x v="0"/>
    <x v="0"/>
    <m/>
    <m/>
    <s v="Not Provided"/>
    <m/>
    <m/>
    <s v="Waiga B village"/>
    <x v="10"/>
  </r>
  <r>
    <s v="James Omoro"/>
    <s v="Standard digital"/>
    <d v="2021-07-05T00:00:00"/>
    <x v="0"/>
    <x v="47"/>
    <x v="0"/>
    <m/>
    <s v="Not Provided"/>
    <x v="4"/>
    <x v="1"/>
    <x v="0"/>
    <s v="stabbed"/>
    <x v="0"/>
    <x v="0"/>
    <m/>
    <m/>
    <s v="Not Provided"/>
    <m/>
    <m/>
    <s v="Homabay County"/>
    <x v="10"/>
  </r>
  <r>
    <s v="Gitonga Marete"/>
    <s v="Daily Nation "/>
    <d v="2023-07-11T00:00:00"/>
    <x v="0"/>
    <x v="48"/>
    <x v="0"/>
    <m/>
    <s v="Not Provided"/>
    <x v="3"/>
    <x v="0"/>
    <x v="2"/>
    <s v="stabbed"/>
    <x v="9"/>
    <x v="1"/>
    <m/>
    <m/>
    <s v="15 years"/>
    <m/>
    <m/>
    <s v="Kanyakine"/>
    <x v="11"/>
  </r>
  <r>
    <s v="Ali Abdi"/>
    <s v="Standard digital"/>
    <d v="2017-09-25T00:00:00"/>
    <x v="0"/>
    <x v="1"/>
    <x v="23"/>
    <m/>
    <s v="Timothy Mbogo"/>
    <x v="4"/>
    <x v="0"/>
    <x v="2"/>
    <s v="stabbed"/>
    <x v="1"/>
    <x v="1"/>
    <m/>
    <m/>
    <s v="Not Provided"/>
    <m/>
    <m/>
    <s v="Odha estate"/>
    <x v="12"/>
  </r>
  <r>
    <s v="Vivian Jebet"/>
    <s v="Daily Nation "/>
    <d v="2018-12-20T00:00:00"/>
    <x v="0"/>
    <x v="1"/>
    <x v="0"/>
    <m/>
    <s v="Not Provided"/>
    <x v="3"/>
    <x v="0"/>
    <x v="0"/>
    <s v="shot"/>
    <x v="1"/>
    <x v="1"/>
    <m/>
    <m/>
    <s v="Not Provided"/>
    <m/>
    <m/>
    <s v="Isiolo town"/>
    <x v="12"/>
  </r>
  <r>
    <s v="Waweru Wairimu"/>
    <s v="Daily Nation "/>
    <d v="2020-05-04T00:00:00"/>
    <x v="0"/>
    <x v="1"/>
    <x v="0"/>
    <d v="2020-05-03T00:00:00"/>
    <s v="David Karingori"/>
    <x v="0"/>
    <x v="0"/>
    <x v="0"/>
    <s v="hacked"/>
    <x v="1"/>
    <x v="1"/>
    <m/>
    <m/>
    <s v="Not Provided"/>
    <m/>
    <m/>
    <s v="Kangutu"/>
    <x v="12"/>
  </r>
  <r>
    <s v="By _x000a_ Waweru Wairimu"/>
    <s v="The Nation"/>
    <d v="2021-03-30T00:00:00"/>
    <x v="0"/>
    <x v="49"/>
    <x v="12"/>
    <m/>
    <s v="Erick Mutwiri Mwenda"/>
    <x v="1"/>
    <x v="0"/>
    <x v="0"/>
    <s v="stabbed"/>
    <x v="1"/>
    <x v="2"/>
    <d v="2021-04-12T00:00:00"/>
    <m/>
    <s v="Not Provided"/>
    <m/>
    <m/>
    <s v="Kambi ya juu"/>
    <x v="12"/>
  </r>
  <r>
    <s v="Kurgat Marindany"/>
    <s v="The Star "/>
    <d v="2018-01-11T00:00:00"/>
    <x v="0"/>
    <x v="50"/>
    <x v="0"/>
    <m/>
    <s v="Stanely Nduati"/>
    <x v="0"/>
    <x v="0"/>
    <x v="0"/>
    <s v="burned"/>
    <x v="1"/>
    <x v="4"/>
    <d v="2018-01-05T00:00:00"/>
    <m/>
    <s v="Not Provided"/>
    <m/>
    <m/>
    <s v="Ongata Rongai"/>
    <x v="13"/>
  </r>
  <r>
    <s v="Kurgat Marindany"/>
    <s v="The Star "/>
    <d v="2018-02-19T00:00:00"/>
    <x v="0"/>
    <x v="51"/>
    <x v="0"/>
    <m/>
    <s v="Not Provided"/>
    <x v="4"/>
    <x v="2"/>
    <x v="0"/>
    <s v="Strangled"/>
    <x v="0"/>
    <x v="1"/>
    <m/>
    <m/>
    <s v="Not Provided"/>
    <m/>
    <m/>
    <s v="Ongata Rongai"/>
    <x v="13"/>
  </r>
  <r>
    <s v="Kinyuru Munuhe"/>
    <s v="MediaMax Network"/>
    <d v="2019-07-11T00:00:00"/>
    <x v="0"/>
    <x v="52"/>
    <x v="24"/>
    <m/>
    <s v="Richard Muchesia"/>
    <x v="0"/>
    <x v="0"/>
    <x v="0"/>
    <s v="shot"/>
    <x v="1"/>
    <x v="3"/>
    <m/>
    <m/>
    <s v="Not Provided"/>
    <m/>
    <m/>
    <s v="Ongata Rongai"/>
    <x v="13"/>
  </r>
  <r>
    <s v="Peterson Githaiga"/>
    <s v="Standard digital"/>
    <m/>
    <x v="0"/>
    <x v="1"/>
    <x v="0"/>
    <m/>
    <s v="Not Provided"/>
    <x v="3"/>
    <x v="0"/>
    <x v="0"/>
    <s v="Strangled"/>
    <x v="0"/>
    <x v="0"/>
    <m/>
    <m/>
    <s v="Not Provided"/>
    <m/>
    <m/>
    <s v="Kitengela"/>
    <x v="13"/>
  </r>
  <r>
    <s v="Kurgat Marindany"/>
    <s v="The Star "/>
    <d v="2020-12-13T00:00:00"/>
    <x v="0"/>
    <x v="53"/>
    <x v="24"/>
    <m/>
    <s v="David Kariuki"/>
    <x v="0"/>
    <x v="0"/>
    <x v="0"/>
    <s v="stabbed"/>
    <x v="2"/>
    <x v="3"/>
    <d v="2020-12-10T00:00:00"/>
    <m/>
    <s v="Not Provided"/>
    <m/>
    <m/>
    <s v="Ngong"/>
    <x v="13"/>
  </r>
  <r>
    <s v="Cyrus Ombati"/>
    <s v="The Star "/>
    <d v="2021-02-21T00:00:00"/>
    <x v="0"/>
    <x v="54"/>
    <x v="6"/>
    <m/>
    <s v="Not Provided"/>
    <x v="4"/>
    <x v="1"/>
    <x v="2"/>
    <s v="blunt force"/>
    <x v="1"/>
    <x v="1"/>
    <m/>
    <m/>
    <s v="Not Provided"/>
    <m/>
    <m/>
    <s v="Not Provided"/>
    <x v="13"/>
  </r>
  <r>
    <s v="By _x000a_ Vincent Achuka_x000a_ And _x000a_ Brian Wasuna"/>
    <s v="The Nation"/>
    <d v="2021-03-17T00:00:00"/>
    <x v="0"/>
    <x v="55"/>
    <x v="0"/>
    <m/>
    <s v="Peter Njenga"/>
    <x v="4"/>
    <x v="2"/>
    <x v="2"/>
    <s v="Strangled"/>
    <x v="0"/>
    <x v="2"/>
    <d v="2021-04-26T00:00:00"/>
    <m/>
    <s v="Not Provided"/>
    <m/>
    <m/>
    <s v="Kerarapon Ngong"/>
    <x v="13"/>
  </r>
  <r>
    <s v="Peterson Githaiga And Fred Kagonye "/>
    <s v="Standard digital"/>
    <d v="2021-04-30T00:00:00"/>
    <x v="0"/>
    <x v="56"/>
    <x v="10"/>
    <m/>
    <s v="Renald Kamerima Allan"/>
    <x v="0"/>
    <x v="1"/>
    <x v="0"/>
    <s v="blunt force"/>
    <x v="0"/>
    <x v="0"/>
    <m/>
    <m/>
    <s v="Not Provided"/>
    <m/>
    <m/>
    <s v="Dumpsite"/>
    <x v="13"/>
  </r>
  <r>
    <s v="Peterson Githaiga"/>
    <s v="Standard digital"/>
    <d v="2021-07-29T00:00:00"/>
    <x v="0"/>
    <x v="57"/>
    <x v="10"/>
    <m/>
    <s v="Not Provided"/>
    <x v="0"/>
    <x v="1"/>
    <x v="0"/>
    <s v="Not Provided "/>
    <x v="0"/>
    <x v="0"/>
    <m/>
    <m/>
    <s v="Not Provided"/>
    <m/>
    <m/>
    <s v="Kitengela"/>
    <x v="13"/>
  </r>
  <r>
    <s v="George Njunge"/>
    <s v="Standard Digital "/>
    <d v="2022-05-06T00:00:00"/>
    <x v="0"/>
    <x v="58"/>
    <x v="12"/>
    <m/>
    <s v="Samuel Mbugua"/>
    <x v="1"/>
    <x v="0"/>
    <x v="0"/>
    <s v="stabbed"/>
    <x v="1"/>
    <x v="1"/>
    <m/>
    <m/>
    <s v="Not Provided"/>
    <m/>
    <m/>
    <s v="Rongai"/>
    <x v="13"/>
  </r>
  <r>
    <s v="Stanley Ngotho"/>
    <s v="Daily Nation "/>
    <d v="2023-01-13T00:00:00"/>
    <x v="0"/>
    <x v="1"/>
    <x v="25"/>
    <m/>
    <s v="Not Provided"/>
    <x v="4"/>
    <x v="2"/>
    <x v="4"/>
    <s v="Not Provided "/>
    <x v="0"/>
    <x v="1"/>
    <m/>
    <m/>
    <s v="Not Provided"/>
    <m/>
    <m/>
    <s v="Maili Tisa village in Loitokitok"/>
    <x v="13"/>
  </r>
  <r>
    <s v="Stanley Ngotho"/>
    <s v="Daily Nation "/>
    <d v="2023-04-22T00:00:00"/>
    <x v="0"/>
    <x v="59"/>
    <x v="13"/>
    <m/>
    <s v="Patrick Kioko"/>
    <x v="3"/>
    <x v="0"/>
    <x v="2"/>
    <s v="stabbed"/>
    <x v="10"/>
    <x v="1"/>
    <m/>
    <m/>
    <s v="Not Provided"/>
    <m/>
    <m/>
    <s v="Kitengela"/>
    <x v="13"/>
  </r>
  <r>
    <s v="Cyrus Ombati"/>
    <s v="The Star "/>
    <d v="2023-08-08T00:00:00"/>
    <x v="0"/>
    <x v="1"/>
    <x v="0"/>
    <m/>
    <s v="Not Provided"/>
    <x v="4"/>
    <x v="1"/>
    <x v="2"/>
    <s v="sexual assault"/>
    <x v="11"/>
    <x v="1"/>
    <m/>
    <m/>
    <s v="Not Provided"/>
    <m/>
    <m/>
    <s v="Kiwanjani area"/>
    <x v="13"/>
  </r>
  <r>
    <s v="Jack Murima"/>
    <s v="Standard Digital "/>
    <d v="2018-10-29T00:00:00"/>
    <x v="0"/>
    <x v="60"/>
    <x v="26"/>
    <m/>
    <s v="Wilson Masiko Mungasia"/>
    <x v="5"/>
    <x v="2"/>
    <x v="2"/>
    <s v="hacked"/>
    <x v="0"/>
    <x v="0"/>
    <m/>
    <d v="2018-10-28T00:00:00"/>
    <s v="guilty"/>
    <m/>
    <n v="2817"/>
    <s v="Mituri village"/>
    <x v="14"/>
  </r>
  <r>
    <s v="John Shilitsa"/>
    <s v="Standard Digital "/>
    <d v="2017-01-21T00:00:00"/>
    <x v="0"/>
    <x v="61"/>
    <x v="0"/>
    <m/>
    <s v="Not Provided"/>
    <x v="6"/>
    <x v="2"/>
    <x v="0"/>
    <s v="hacked"/>
    <x v="0"/>
    <x v="1"/>
    <m/>
    <m/>
    <s v="Not Provided"/>
    <m/>
    <m/>
    <s v="Mwamba Village"/>
    <x v="14"/>
  </r>
  <r>
    <s v="Jackline Inyanji"/>
    <s v="Standard Digital "/>
    <d v="2018-03-13T00:00:00"/>
    <x v="0"/>
    <x v="1"/>
    <x v="27"/>
    <m/>
    <s v="Not Provided"/>
    <x v="4"/>
    <x v="1"/>
    <x v="2"/>
    <s v="Not Provided "/>
    <x v="0"/>
    <x v="1"/>
    <m/>
    <m/>
    <s v="Not Provided"/>
    <m/>
    <m/>
    <s v="Mukhonje village"/>
    <x v="14"/>
  </r>
  <r>
    <s v="Shaban Makokha"/>
    <s v="Daily Nation "/>
    <d v="2018-03-31T00:00:00"/>
    <x v="0"/>
    <x v="1"/>
    <x v="9"/>
    <m/>
    <s v="Not Provided"/>
    <x v="0"/>
    <x v="0"/>
    <x v="2"/>
    <s v="stabbed"/>
    <x v="2"/>
    <x v="1"/>
    <m/>
    <m/>
    <s v="Not Provided"/>
    <m/>
    <m/>
    <s v="Shieywe Ward"/>
    <x v="14"/>
  </r>
  <r>
    <s v="Nathan Ochunge"/>
    <s v="Standard Digital "/>
    <d v="2018-06-08T00:00:00"/>
    <x v="0"/>
    <x v="62"/>
    <x v="28"/>
    <m/>
    <s v="Not Provided"/>
    <x v="0"/>
    <x v="0"/>
    <x v="0"/>
    <s v="stabbed"/>
    <x v="1"/>
    <x v="1"/>
    <m/>
    <m/>
    <s v="Not Provided"/>
    <m/>
    <m/>
    <s v="Lunyelelia village"/>
    <x v="14"/>
  </r>
  <r>
    <s v="Not Provided"/>
    <s v="Standard Media"/>
    <m/>
    <x v="0"/>
    <x v="63"/>
    <x v="0"/>
    <m/>
    <s v="Not Provided"/>
    <x v="0"/>
    <x v="1"/>
    <x v="1"/>
    <s v="Not Provided "/>
    <x v="0"/>
    <x v="0"/>
    <m/>
    <m/>
    <s v="Not Provided"/>
    <m/>
    <m/>
    <s v="Kakamega County"/>
    <x v="14"/>
  </r>
  <r>
    <s v="Not Provided"/>
    <s v="KBC"/>
    <m/>
    <x v="0"/>
    <x v="64"/>
    <x v="0"/>
    <m/>
    <s v="Not Provided"/>
    <x v="0"/>
    <x v="1"/>
    <x v="1"/>
    <s v="Not Provided "/>
    <x v="0"/>
    <x v="0"/>
    <m/>
    <m/>
    <s v="Not Provided"/>
    <m/>
    <m/>
    <s v="Kakamega County"/>
    <x v="14"/>
  </r>
  <r>
    <s v="Not Provided"/>
    <s v="Standard Media"/>
    <m/>
    <x v="0"/>
    <x v="65"/>
    <x v="0"/>
    <m/>
    <s v="Not Provided"/>
    <x v="3"/>
    <x v="1"/>
    <x v="1"/>
    <s v="Not Provided "/>
    <x v="0"/>
    <x v="0"/>
    <m/>
    <m/>
    <s v="Not Provided"/>
    <m/>
    <m/>
    <s v="Kakamega County"/>
    <x v="14"/>
  </r>
  <r>
    <s v="Benson Amadala"/>
    <s v="Daily Nation "/>
    <d v="2019-03-23T00:00:00"/>
    <x v="0"/>
    <x v="66"/>
    <x v="0"/>
    <m/>
    <s v="Patrick Nyapara"/>
    <x v="3"/>
    <x v="0"/>
    <x v="0"/>
    <s v="shot"/>
    <x v="1"/>
    <x v="2"/>
    <d v="2019-03-18T00:00:00"/>
    <m/>
    <s v="Not Provided"/>
    <m/>
    <m/>
    <s v="Navakholo"/>
    <x v="14"/>
  </r>
  <r>
    <s v="Not Provided"/>
    <s v="Standard Digital "/>
    <d v="2019-05-07T00:00:00"/>
    <x v="0"/>
    <x v="67"/>
    <x v="29"/>
    <d v="2019-05-07T00:00:00"/>
    <s v="Not Provided"/>
    <x v="4"/>
    <x v="2"/>
    <x v="0"/>
    <s v="hacked"/>
    <x v="0"/>
    <x v="1"/>
    <m/>
    <m/>
    <s v="Not Provided"/>
    <m/>
    <m/>
    <s v="Ejinja Matungu"/>
    <x v="14"/>
  </r>
  <r>
    <s v="Benson Amadala"/>
    <s v="Daily Nation "/>
    <d v="2019-06-04T00:00:00"/>
    <x v="0"/>
    <x v="68"/>
    <x v="30"/>
    <m/>
    <s v="Noah Inyangala"/>
    <x v="0"/>
    <x v="0"/>
    <x v="0"/>
    <s v="stabbed"/>
    <x v="2"/>
    <x v="1"/>
    <m/>
    <m/>
    <s v="Not Provided"/>
    <m/>
    <m/>
    <s v="Mawe tatu"/>
    <x v="14"/>
  </r>
  <r>
    <s v=" Abel Amala"/>
    <s v="K24 Digital"/>
    <m/>
    <x v="0"/>
    <x v="69"/>
    <x v="17"/>
    <m/>
    <s v="Joseph Boyi Shiro"/>
    <x v="0"/>
    <x v="0"/>
    <x v="0"/>
    <s v="hacked"/>
    <x v="12"/>
    <x v="0"/>
    <m/>
    <m/>
    <s v="Not Provided"/>
    <m/>
    <m/>
    <s v="Emukaya Village in Lurambi"/>
    <x v="14"/>
  </r>
  <r>
    <s v="_x000a_Mumo Munuve"/>
    <s v="Standard digital"/>
    <d v="2021-04-27T00:00:00"/>
    <x v="0"/>
    <x v="70"/>
    <x v="31"/>
    <m/>
    <s v="Wycliffe Khamasi,"/>
    <x v="0"/>
    <x v="1"/>
    <x v="0"/>
    <s v="stabbed"/>
    <x v="0"/>
    <x v="0"/>
    <m/>
    <m/>
    <s v="Not Provided"/>
    <m/>
    <m/>
    <s v="Madala Village in Shinyalu"/>
    <x v="14"/>
  </r>
  <r>
    <s v="Winfrey Owino"/>
    <s v="Standard Digital "/>
    <d v="2021-06-02T00:00:00"/>
    <x v="0"/>
    <x v="1"/>
    <x v="0"/>
    <m/>
    <s v="Not Provided"/>
    <x v="4"/>
    <x v="2"/>
    <x v="2"/>
    <s v="sexual assault"/>
    <x v="0"/>
    <x v="1"/>
    <m/>
    <m/>
    <s v="Not Provided"/>
    <m/>
    <m/>
    <s v="Kakamega town"/>
    <x v="14"/>
  </r>
  <r>
    <s v="Benard Lusigi"/>
    <s v="Standard Digital "/>
    <d v="2022-04-25T00:00:00"/>
    <x v="0"/>
    <x v="71"/>
    <x v="13"/>
    <m/>
    <s v="Not Provided"/>
    <x v="0"/>
    <x v="0"/>
    <x v="0"/>
    <s v="Strangled"/>
    <x v="2"/>
    <x v="1"/>
    <m/>
    <m/>
    <s v="Not Provided"/>
    <m/>
    <m/>
    <s v="Shirere village"/>
    <x v="14"/>
  </r>
  <r>
    <s v="Martin Bulimu"/>
    <s v="Citizen Digital"/>
    <d v="2023-01-03T00:00:00"/>
    <x v="0"/>
    <x v="72"/>
    <x v="32"/>
    <m/>
    <s v="Not Provided"/>
    <x v="0"/>
    <x v="0"/>
    <x v="4"/>
    <s v="blunt force"/>
    <x v="13"/>
    <x v="1"/>
    <m/>
    <m/>
    <s v="Not Provided"/>
    <m/>
    <m/>
    <s v="Navakholo"/>
    <x v="14"/>
  </r>
  <r>
    <s v="Bernard Lusigi"/>
    <s v="Standard digital"/>
    <d v="2023-12-05T00:00:00"/>
    <x v="0"/>
    <x v="73"/>
    <x v="6"/>
    <m/>
    <s v="Solomon Isaiah"/>
    <x v="0"/>
    <x v="0"/>
    <x v="0"/>
    <s v="Not Provided "/>
    <x v="14"/>
    <x v="5"/>
    <m/>
    <m/>
    <s v="Not Provided"/>
    <m/>
    <m/>
    <s v="Lukume area"/>
    <x v="14"/>
  </r>
  <r>
    <s v="Brian Salil"/>
    <s v="The Star "/>
    <d v="2023-02-28T00:00:00"/>
    <x v="0"/>
    <x v="74"/>
    <x v="33"/>
    <m/>
    <s v="Zackaria Ngâ€™asura"/>
    <x v="0"/>
    <x v="0"/>
    <x v="0"/>
    <s v="stabbed"/>
    <x v="0"/>
    <x v="1"/>
    <m/>
    <m/>
    <s v="Not Provided"/>
    <m/>
    <m/>
    <s v="Kiprambu in Chepkumia"/>
    <x v="15"/>
  </r>
  <r>
    <s v="Nikko Tanui"/>
    <s v="Standard Digital "/>
    <d v="2018-11-29T00:00:00"/>
    <x v="0"/>
    <x v="75"/>
    <x v="0"/>
    <m/>
    <s v="Wiberforce Kirui"/>
    <x v="0"/>
    <x v="0"/>
    <x v="0"/>
    <s v="Strangled"/>
    <x v="1"/>
    <x v="0"/>
    <d v="2014-03-27T00:00:00"/>
    <d v="2018-11-29T00:00:00"/>
    <s v="guilty"/>
    <m/>
    <n v="1714"/>
    <s v="Kabitungu village"/>
    <x v="16"/>
  </r>
  <r>
    <s v="Nikko Tonui"/>
    <s v="Standard digital"/>
    <d v="2017-09-25T00:00:00"/>
    <x v="0"/>
    <x v="76"/>
    <x v="12"/>
    <m/>
    <s v="Not Provided"/>
    <x v="0"/>
    <x v="0"/>
    <x v="0"/>
    <s v="stabbed"/>
    <x v="2"/>
    <x v="1"/>
    <m/>
    <m/>
    <s v="Not Provided"/>
    <m/>
    <m/>
    <s v="Kedowa"/>
    <x v="16"/>
  </r>
  <r>
    <s v="Nikko Tanui"/>
    <s v="Standard Digital "/>
    <d v="2018-07-06T00:00:00"/>
    <x v="0"/>
    <x v="1"/>
    <x v="8"/>
    <m/>
    <s v="Gideon Cheruiyot"/>
    <x v="0"/>
    <x v="0"/>
    <x v="0"/>
    <s v="hacked"/>
    <x v="1"/>
    <x v="1"/>
    <m/>
    <m/>
    <s v="Not Provided"/>
    <m/>
    <m/>
    <s v="Soin village"/>
    <x v="16"/>
  </r>
  <r>
    <s v="People Daily"/>
    <s v="MediaMax Network"/>
    <d v="2019-03-01T00:00:00"/>
    <x v="0"/>
    <x v="77"/>
    <x v="34"/>
    <m/>
    <s v="Not Provided"/>
    <x v="4"/>
    <x v="2"/>
    <x v="0"/>
    <s v="blunt force"/>
    <x v="15"/>
    <x v="1"/>
    <m/>
    <m/>
    <s v="Not Provided"/>
    <m/>
    <m/>
    <s v="Litein"/>
    <x v="16"/>
  </r>
  <r>
    <s v="Not Provided"/>
    <s v="Tuko News"/>
    <m/>
    <x v="0"/>
    <x v="78"/>
    <x v="29"/>
    <m/>
    <s v="Not Provided"/>
    <x v="0"/>
    <x v="1"/>
    <x v="1"/>
    <s v="Not Provided "/>
    <x v="0"/>
    <x v="0"/>
    <m/>
    <m/>
    <s v="Not Provided"/>
    <m/>
    <m/>
    <s v="Kericho County"/>
    <x v="16"/>
  </r>
  <r>
    <s v="Lynn Kolongei"/>
    <s v="Standard Digital "/>
    <d v="2021-11-08T00:00:00"/>
    <x v="0"/>
    <x v="79"/>
    <x v="0"/>
    <m/>
    <s v="Paul Kipkemboi"/>
    <x v="0"/>
    <x v="0"/>
    <x v="0"/>
    <s v="hacked"/>
    <x v="1"/>
    <x v="0"/>
    <m/>
    <d v="2021-11-08T00:00:00"/>
    <s v="guilty"/>
    <n v="5"/>
    <n v="361"/>
    <s v="Kipkelion"/>
    <x v="16"/>
  </r>
  <r>
    <s v="Mercy Wairimu"/>
    <s v="The Star "/>
    <d v="2022-05-05T00:00:00"/>
    <x v="0"/>
    <x v="80"/>
    <x v="13"/>
    <d v="2022-05-04T00:00:00"/>
    <s v="Tony Kiptoo"/>
    <x v="3"/>
    <x v="0"/>
    <x v="3"/>
    <s v="stabbed"/>
    <x v="8"/>
    <x v="1"/>
    <m/>
    <m/>
    <s v="Not Provided"/>
    <m/>
    <m/>
    <s v="Keben Secondary School"/>
    <x v="16"/>
  </r>
  <r>
    <s v="Vitalis Kimutai"/>
    <s v="Daily Nation "/>
    <d v="2023-05-03T00:00:00"/>
    <x v="0"/>
    <x v="1"/>
    <x v="24"/>
    <d v="2023-05-02T00:00:00"/>
    <s v="Not Provided"/>
    <x v="0"/>
    <x v="0"/>
    <x v="0"/>
    <s v="blunt force"/>
    <x v="0"/>
    <x v="1"/>
    <m/>
    <m/>
    <s v="Not Provided"/>
    <m/>
    <m/>
    <s v="Burgei village in Kipkelion East Constituency"/>
    <x v="16"/>
  </r>
  <r>
    <s v="Cyrus Ombati"/>
    <s v="The Star "/>
    <d v="2023-06-07T00:00:00"/>
    <x v="0"/>
    <x v="81"/>
    <x v="0"/>
    <m/>
    <s v="Bernard Bilayi"/>
    <x v="3"/>
    <x v="0"/>
    <x v="5"/>
    <s v="shot"/>
    <x v="0"/>
    <x v="5"/>
    <m/>
    <m/>
    <s v="Not Provided"/>
    <m/>
    <m/>
    <s v="Sosiot trading centre in Belgut"/>
    <x v="16"/>
  </r>
  <r>
    <s v="Vitalis Kimutai"/>
    <s v="Daily Nation "/>
    <d v="2023-06-07T00:00:00"/>
    <x v="0"/>
    <x v="1"/>
    <x v="0"/>
    <m/>
    <s v="Not Provided"/>
    <x v="3"/>
    <x v="0"/>
    <x v="2"/>
    <s v="shot"/>
    <x v="0"/>
    <x v="5"/>
    <m/>
    <m/>
    <s v="Not Provided"/>
    <m/>
    <m/>
    <s v="Sosiot"/>
    <x v="16"/>
  </r>
  <r>
    <s v="Not Provided"/>
    <s v="The Star "/>
    <d v="2023-08-23T00:00:00"/>
    <x v="0"/>
    <x v="1"/>
    <x v="2"/>
    <m/>
    <s v="Not Provided"/>
    <x v="4"/>
    <x v="1"/>
    <x v="0"/>
    <s v="other"/>
    <x v="0"/>
    <x v="1"/>
    <m/>
    <m/>
    <s v="Not Provided"/>
    <m/>
    <m/>
    <s v="Ainamoi"/>
    <x v="16"/>
  </r>
  <r>
    <s v="Vitalis Kimutai"/>
    <s v="Nairobi News"/>
    <d v="2023-11-28T00:00:00"/>
    <x v="0"/>
    <x v="82"/>
    <x v="0"/>
    <m/>
    <s v="Cornel Ochieng"/>
    <x v="0"/>
    <x v="0"/>
    <x v="2"/>
    <s v="stabbed"/>
    <x v="16"/>
    <x v="1"/>
    <m/>
    <m/>
    <s v="Not Provided"/>
    <m/>
    <m/>
    <s v="James Finlays Tea Company workshop estate"/>
    <x v="16"/>
  </r>
  <r>
    <s v="Alphonce Mung"/>
    <s v="The Star "/>
    <d v="2018-03-20T00:00:00"/>
    <x v="0"/>
    <x v="83"/>
    <x v="0"/>
    <m/>
    <s v="Nixon Chepkwony"/>
    <x v="0"/>
    <x v="0"/>
    <x v="0"/>
    <s v="Strangled"/>
    <x v="1"/>
    <x v="2"/>
    <d v="2018-05-29T00:00:00"/>
    <m/>
    <s v="Not Provided"/>
    <m/>
    <m/>
    <s v="GSU headquaters"/>
    <x v="17"/>
  </r>
  <r>
    <s v="Kamau Muthoni "/>
    <s v="Standard digital"/>
    <m/>
    <x v="0"/>
    <x v="84"/>
    <x v="0"/>
    <m/>
    <s v="Marcel Jumanne Dalance"/>
    <x v="7"/>
    <x v="0"/>
    <x v="0"/>
    <s v="burned"/>
    <x v="0"/>
    <x v="0"/>
    <m/>
    <d v="2020-11-11T00:00:00"/>
    <s v="guilty"/>
    <m/>
    <n v="2315"/>
    <s v="Alpha House"/>
    <x v="17"/>
  </r>
  <r>
    <s v=" Kiundu Waweru"/>
    <s v="Nairobi News"/>
    <d v="2016-06-05T00:00:00"/>
    <x v="0"/>
    <x v="85"/>
    <x v="0"/>
    <m/>
    <s v="Geoffrey Mathenge "/>
    <x v="5"/>
    <x v="2"/>
    <x v="0"/>
    <s v="Not Provided "/>
    <x v="0"/>
    <x v="0"/>
    <m/>
    <m/>
    <s v="Not Provided"/>
    <m/>
    <m/>
    <s v="Muthure"/>
    <x v="17"/>
  </r>
  <r>
    <s v="Cyrus Ombati"/>
    <s v="Standard Digital "/>
    <d v="2017-02-27T00:00:00"/>
    <x v="0"/>
    <x v="86"/>
    <x v="0"/>
    <m/>
    <s v="Joseph Ateya"/>
    <x v="3"/>
    <x v="0"/>
    <x v="4"/>
    <s v="shot"/>
    <x v="1"/>
    <x v="1"/>
    <m/>
    <m/>
    <s v="Not Provided"/>
    <m/>
    <m/>
    <s v="Githurai"/>
    <x v="17"/>
  </r>
  <r>
    <s v="Paul Baraza"/>
    <s v="Standard digital"/>
    <d v="2017-04-10T00:00:00"/>
    <x v="0"/>
    <x v="87"/>
    <x v="0"/>
    <m/>
    <s v="Muhammed Wairimu"/>
    <x v="3"/>
    <x v="0"/>
    <x v="0"/>
    <s v="hacked"/>
    <x v="2"/>
    <x v="1"/>
    <m/>
    <m/>
    <s v="Not Provided"/>
    <m/>
    <m/>
    <s v="Kahawa Wendani"/>
    <x v="17"/>
  </r>
  <r>
    <s v="Lucas Ngasike"/>
    <s v="Standard Digital "/>
    <d v="2017-09-18T00:00:00"/>
    <x v="0"/>
    <x v="88"/>
    <x v="23"/>
    <m/>
    <s v="Not Provided"/>
    <x v="4"/>
    <x v="1"/>
    <x v="0"/>
    <s v="Strangled"/>
    <x v="8"/>
    <x v="1"/>
    <m/>
    <m/>
    <s v="Not Provided"/>
    <m/>
    <m/>
    <s v="Uthiru"/>
    <x v="17"/>
  </r>
  <r>
    <s v="Kamau Maichuhie"/>
    <s v="Standard digital"/>
    <d v="2017-11-05T00:00:00"/>
    <x v="0"/>
    <x v="1"/>
    <x v="35"/>
    <m/>
    <s v="Not Provided"/>
    <x v="4"/>
    <x v="2"/>
    <x v="2"/>
    <s v="stabbed"/>
    <x v="0"/>
    <x v="1"/>
    <m/>
    <m/>
    <s v="Not Provided"/>
    <m/>
    <m/>
    <s v="Muchatha village"/>
    <x v="17"/>
  </r>
  <r>
    <s v="Ann Ngige Nyamu"/>
    <s v="Citizen Digital"/>
    <d v="2018-01-16T00:00:00"/>
    <x v="0"/>
    <x v="89"/>
    <x v="0"/>
    <m/>
    <s v="Patrick Nderitu Karuiru"/>
    <x v="0"/>
    <x v="0"/>
    <x v="0"/>
    <s v="Strangled"/>
    <x v="1"/>
    <x v="3"/>
    <m/>
    <m/>
    <s v="Not Provided"/>
    <m/>
    <m/>
    <s v="Juja"/>
    <x v="17"/>
  </r>
  <r>
    <s v="James Kahongeh"/>
    <s v="Daily Nation "/>
    <d v="2018-01-26T00:00:00"/>
    <x v="0"/>
    <x v="90"/>
    <x v="1"/>
    <m/>
    <s v="Samwel Ndung'u"/>
    <x v="0"/>
    <x v="0"/>
    <x v="2"/>
    <s v="other"/>
    <x v="1"/>
    <x v="0"/>
    <d v="2018-01-29T00:00:00"/>
    <m/>
    <s v="Not Provided"/>
    <m/>
    <m/>
    <s v="Thingigwa Appartment"/>
    <x v="17"/>
  </r>
  <r>
    <s v="Mary Wambui"/>
    <s v="Daily Nation "/>
    <d v="2018-01-29T00:00:00"/>
    <x v="0"/>
    <x v="91"/>
    <x v="2"/>
    <m/>
    <s v="Timothy Ndirangu (deceased)"/>
    <x v="0"/>
    <x v="0"/>
    <x v="0"/>
    <s v="Strangled"/>
    <x v="1"/>
    <x v="1"/>
    <m/>
    <m/>
    <s v="Not Provided"/>
    <m/>
    <m/>
    <s v="Maguguni"/>
    <x v="17"/>
  </r>
  <r>
    <s v="Kamau Maichuhie"/>
    <s v="Standard Digital "/>
    <d v="2018-02-07T00:00:00"/>
    <x v="0"/>
    <x v="1"/>
    <x v="35"/>
    <m/>
    <s v="Not Provided"/>
    <x v="4"/>
    <x v="1"/>
    <x v="2"/>
    <s v="sexual assault"/>
    <x v="0"/>
    <x v="1"/>
    <m/>
    <m/>
    <s v="Not Provided"/>
    <m/>
    <m/>
    <s v="Muchatha village"/>
    <x v="17"/>
  </r>
  <r>
    <s v="George Mugo"/>
    <s v="The Star "/>
    <d v="2018-02-20T00:00:00"/>
    <x v="0"/>
    <x v="92"/>
    <x v="36"/>
    <m/>
    <s v="Philip Njenga"/>
    <x v="6"/>
    <x v="2"/>
    <x v="0"/>
    <s v="Strangled"/>
    <x v="0"/>
    <x v="1"/>
    <m/>
    <m/>
    <s v="Not Provided"/>
    <m/>
    <m/>
    <s v="Kongothiria village"/>
    <x v="17"/>
  </r>
  <r>
    <s v="Stanley Njenga"/>
    <s v="The Star "/>
    <d v="2019-01-29T00:00:00"/>
    <x v="0"/>
    <x v="93"/>
    <x v="19"/>
    <m/>
    <s v="Judy Mungai"/>
    <x v="6"/>
    <x v="2"/>
    <x v="0"/>
    <s v="blunt force"/>
    <x v="2"/>
    <x v="0"/>
    <d v="2019-01-29T00:00:00"/>
    <m/>
    <s v="Not Provided"/>
    <m/>
    <m/>
    <s v="Four Ways estate"/>
    <x v="17"/>
  </r>
  <r>
    <s v="Stanley Njenga"/>
    <s v="The Star "/>
    <d v="2019-02-25T00:00:00"/>
    <x v="0"/>
    <x v="94"/>
    <x v="37"/>
    <m/>
    <s v="Not Provided"/>
    <x v="4"/>
    <x v="2"/>
    <x v="2"/>
    <s v="other"/>
    <x v="0"/>
    <x v="1"/>
    <m/>
    <m/>
    <s v="Not Provided"/>
    <m/>
    <m/>
    <s v="Riyani village"/>
    <x v="17"/>
  </r>
  <r>
    <s v="Not Provided"/>
    <s v="Daily Active"/>
    <m/>
    <x v="0"/>
    <x v="95"/>
    <x v="0"/>
    <m/>
    <s v="Not Provided"/>
    <x v="0"/>
    <x v="1"/>
    <x v="1"/>
    <s v="Not Provided "/>
    <x v="0"/>
    <x v="0"/>
    <m/>
    <m/>
    <s v="Not Provided"/>
    <m/>
    <m/>
    <s v="Kiambu County"/>
    <x v="17"/>
  </r>
  <r>
    <s v="Hilary Kimuyu"/>
    <s v="Daily Nation "/>
    <d v="2019-05-27T00:00:00"/>
    <x v="0"/>
    <x v="42"/>
    <x v="0"/>
    <d v="2019-05-21T00:00:00"/>
    <s v="Albert Mwangi"/>
    <x v="0"/>
    <x v="0"/>
    <x v="0"/>
    <s v="blunt force"/>
    <x v="1"/>
    <x v="3"/>
    <m/>
    <m/>
    <s v="Not Provided"/>
    <m/>
    <m/>
    <s v="Kiambumini Estate"/>
    <x v="17"/>
  </r>
  <r>
    <s v="George Mugo"/>
    <s v="The Star "/>
    <d v="2020-07-29T00:00:00"/>
    <x v="0"/>
    <x v="96"/>
    <x v="21"/>
    <m/>
    <s v="Not Provided"/>
    <x v="4"/>
    <x v="2"/>
    <x v="2"/>
    <s v="stabbed"/>
    <x v="0"/>
    <x v="1"/>
    <m/>
    <m/>
    <s v="Not Provided"/>
    <m/>
    <m/>
    <s v="Rusigetti village"/>
    <x v="17"/>
  </r>
  <r>
    <s v="Tracy Mutinda"/>
    <s v="The Star "/>
    <d v="2020-10-20T00:00:00"/>
    <x v="0"/>
    <x v="1"/>
    <x v="0"/>
    <m/>
    <s v="Levy Abubakara"/>
    <x v="4"/>
    <x v="2"/>
    <x v="0"/>
    <s v="Strangled"/>
    <x v="0"/>
    <x v="1"/>
    <m/>
    <m/>
    <s v="Not Provided"/>
    <m/>
    <m/>
    <s v="Membley area"/>
    <x v="17"/>
  </r>
  <r>
    <s v="John Kamau"/>
    <s v="The Star "/>
    <d v="2021-01-07T00:00:00"/>
    <x v="0"/>
    <x v="1"/>
    <x v="0"/>
    <m/>
    <s v="Not Provided"/>
    <x v="4"/>
    <x v="2"/>
    <x v="2"/>
    <s v="other"/>
    <x v="0"/>
    <x v="1"/>
    <m/>
    <m/>
    <s v="Not Provided"/>
    <m/>
    <m/>
    <s v="Wataalam Ruiru"/>
    <x v="17"/>
  </r>
  <r>
    <s v="George Mugo"/>
    <s v="The Star "/>
    <d v="2021-02-04T00:00:00"/>
    <x v="0"/>
    <x v="1"/>
    <x v="4"/>
    <m/>
    <s v="Not Provided"/>
    <x v="3"/>
    <x v="0"/>
    <x v="0"/>
    <s v="stabbed"/>
    <x v="1"/>
    <x v="1"/>
    <m/>
    <m/>
    <s v="Not Provided"/>
    <m/>
    <m/>
    <s v="Kamahindu village"/>
    <x v="17"/>
  </r>
  <r>
    <s v="John Kamau"/>
    <s v="The Star "/>
    <d v="2021-03-31T00:00:00"/>
    <x v="0"/>
    <x v="97"/>
    <x v="1"/>
    <m/>
    <s v="Hillary Kipkirui"/>
    <x v="3"/>
    <x v="0"/>
    <x v="0"/>
    <s v="stabbed"/>
    <x v="2"/>
    <x v="3"/>
    <m/>
    <m/>
    <s v="Not Provided"/>
    <m/>
    <m/>
    <s v="Majengo estate Thika"/>
    <x v="17"/>
  </r>
  <r>
    <s v="Cyrus Ombati"/>
    <s v="The Star "/>
    <d v="2021-04-07T00:00:00"/>
    <x v="0"/>
    <x v="98"/>
    <x v="30"/>
    <m/>
    <s v="Officer Hudson Wakise"/>
    <x v="0"/>
    <x v="0"/>
    <x v="0"/>
    <s v="shot"/>
    <x v="1"/>
    <x v="3"/>
    <m/>
    <m/>
    <s v="Not Provided"/>
    <m/>
    <m/>
    <s v="GSU camp Ruaka"/>
    <x v="17"/>
  </r>
  <r>
    <s v="Akello Odenyo Akello Odenyo"/>
    <s v="The Star "/>
    <d v="2021-04-17T00:00:00"/>
    <x v="0"/>
    <x v="99"/>
    <x v="5"/>
    <m/>
    <s v="Evans Karani"/>
    <x v="3"/>
    <x v="0"/>
    <x v="2"/>
    <s v="burned"/>
    <x v="1"/>
    <x v="2"/>
    <d v="2021-04-19T00:00:00"/>
    <m/>
    <s v="Not Provided"/>
    <m/>
    <m/>
    <s v="Kimbo Githurai"/>
    <x v="17"/>
  </r>
  <r>
    <s v="George Mugo"/>
    <s v="The Star "/>
    <d v="2021-06-10T00:00:00"/>
    <x v="0"/>
    <x v="100"/>
    <x v="38"/>
    <m/>
    <s v="Not Provided"/>
    <x v="6"/>
    <x v="2"/>
    <x v="2"/>
    <s v="Strangled"/>
    <x v="0"/>
    <x v="1"/>
    <m/>
    <m/>
    <s v="Not Provided"/>
    <m/>
    <m/>
    <s v="Karambani village"/>
    <x v="17"/>
  </r>
  <r>
    <s v="Mathew Ndungu"/>
    <s v="K24 Digital"/>
    <d v="2021-06-16T00:00:00"/>
    <x v="0"/>
    <x v="101"/>
    <x v="39"/>
    <m/>
    <s v="Not Provided"/>
    <x v="2"/>
    <x v="1"/>
    <x v="3"/>
    <s v="stabbed"/>
    <x v="0"/>
    <x v="0"/>
    <m/>
    <m/>
    <s v="Not Provided"/>
    <m/>
    <m/>
    <s v="Mt. Kenya University Thika"/>
    <x v="17"/>
  </r>
  <r>
    <s v="Fidelis Kabunyi"/>
    <s v="Standard Digital "/>
    <d v="2021-08-03T00:00:00"/>
    <x v="0"/>
    <x v="102"/>
    <x v="40"/>
    <m/>
    <s v="Jonathan Mukundi Gachunga"/>
    <x v="0"/>
    <x v="0"/>
    <x v="0"/>
    <s v="shot"/>
    <x v="1"/>
    <x v="3"/>
    <m/>
    <m/>
    <s v="Not Provided"/>
    <m/>
    <m/>
    <s v="Kirigiti"/>
    <x v="17"/>
  </r>
  <r>
    <s v="Fidelis Kabunyi"/>
    <s v="Standard Digital "/>
    <d v="2021-08-25T00:00:00"/>
    <x v="0"/>
    <x v="103"/>
    <x v="28"/>
    <m/>
    <s v="Evans Kamau"/>
    <x v="1"/>
    <x v="0"/>
    <x v="0"/>
    <s v="stabbed"/>
    <x v="8"/>
    <x v="2"/>
    <d v="2021-09-08T00:00:00"/>
    <m/>
    <s v="Not Provided"/>
    <m/>
    <m/>
    <s v="Elmark estate"/>
    <x v="17"/>
  </r>
  <r>
    <s v="Bashir Mbuthia"/>
    <s v="Citizen Digital"/>
    <d v="2022-01-06T00:00:00"/>
    <x v="0"/>
    <x v="104"/>
    <x v="1"/>
    <m/>
    <s v="Brian Wawere"/>
    <x v="2"/>
    <x v="1"/>
    <x v="0"/>
    <s v="Not Provided "/>
    <x v="0"/>
    <x v="0"/>
    <m/>
    <m/>
    <s v="Not Provided"/>
    <m/>
    <m/>
    <s v="Kiambu County"/>
    <x v="17"/>
  </r>
  <r>
    <s v="Fidelis Kabunyi"/>
    <s v="Standard Digital "/>
    <d v="2022-01-18T00:00:00"/>
    <x v="0"/>
    <x v="105"/>
    <x v="21"/>
    <m/>
    <s v="Not Provided"/>
    <x v="4"/>
    <x v="1"/>
    <x v="2"/>
    <s v="Strangled"/>
    <x v="2"/>
    <x v="1"/>
    <m/>
    <m/>
    <s v="Not Provided"/>
    <m/>
    <m/>
    <s v="Kimbo"/>
    <x v="17"/>
  </r>
  <r>
    <s v=" Cyrus Ombati"/>
    <s v="Not Provided"/>
    <d v="2022-05-15T00:00:00"/>
    <x v="0"/>
    <x v="106"/>
    <x v="39"/>
    <d v="2022-05-13T00:00:00"/>
    <s v="John Wanyoike Kibungi,"/>
    <x v="3"/>
    <x v="1"/>
    <x v="1"/>
    <s v="stabbed"/>
    <x v="0"/>
    <x v="0"/>
    <m/>
    <m/>
    <s v="Not Provided"/>
    <m/>
    <m/>
    <s v="Mburiria estate"/>
    <x v="17"/>
  </r>
  <r>
    <s v="George Mugo"/>
    <s v="The Star "/>
    <d v="2022-10-30T00:00:00"/>
    <x v="0"/>
    <x v="1"/>
    <x v="0"/>
    <m/>
    <s v="Not Provided"/>
    <x v="0"/>
    <x v="0"/>
    <x v="0"/>
    <s v="hacked"/>
    <x v="1"/>
    <x v="3"/>
    <m/>
    <m/>
    <s v="Not Provided"/>
    <m/>
    <m/>
    <s v="Kimende town"/>
    <x v="17"/>
  </r>
  <r>
    <s v=" George Njunge"/>
    <s v="Not Provided"/>
    <d v="2022-10-29T00:00:00"/>
    <x v="0"/>
    <x v="107"/>
    <x v="0"/>
    <m/>
    <s v="Benson Wanjohi"/>
    <x v="0"/>
    <x v="1"/>
    <x v="0"/>
    <s v="hacked"/>
    <x v="0"/>
    <x v="0"/>
    <m/>
    <m/>
    <s v="Not Provided"/>
    <m/>
    <m/>
    <s v="Lari"/>
    <x v="17"/>
  </r>
  <r>
    <s v=" Simon Ciuri And Mwangi Muiruri"/>
    <s v="Daily Nation "/>
    <d v="2023-04-24T00:00:00"/>
    <x v="0"/>
    <x v="108"/>
    <x v="2"/>
    <m/>
    <s v="Morris Njuguna"/>
    <x v="0"/>
    <x v="0"/>
    <x v="0"/>
    <s v="blunt force"/>
    <x v="17"/>
    <x v="1"/>
    <m/>
    <m/>
    <s v="Not Provided"/>
    <m/>
    <m/>
    <s v="Mitikenda Estate on the outskirts of Ruiru"/>
    <x v="17"/>
  </r>
  <r>
    <s v="Kna"/>
    <s v="The Star "/>
    <d v="2023-07-11T00:00:00"/>
    <x v="0"/>
    <x v="109"/>
    <x v="41"/>
    <m/>
    <s v="Unknown assailant"/>
    <x v="4"/>
    <x v="1"/>
    <x v="2"/>
    <s v="sexual assault"/>
    <x v="0"/>
    <x v="1"/>
    <m/>
    <m/>
    <s v="Not Provided"/>
    <m/>
    <m/>
    <s v="Riverside"/>
    <x v="17"/>
  </r>
  <r>
    <s v=" Nyaboga Kiage"/>
    <s v="Nairobi News"/>
    <d v="2023-08-29T00:00:00"/>
    <x v="0"/>
    <x v="110"/>
    <x v="0"/>
    <m/>
    <s v="HK"/>
    <x v="1"/>
    <x v="0"/>
    <x v="4"/>
    <s v="stabbed"/>
    <x v="17"/>
    <x v="1"/>
    <m/>
    <m/>
    <s v="Not Provided"/>
    <m/>
    <m/>
    <s v="Ngewa"/>
    <x v="17"/>
  </r>
  <r>
    <s v=" Simon Ciuri"/>
    <s v="Daily Nation "/>
    <d v="2023-09-20T00:00:00"/>
    <x v="0"/>
    <x v="111"/>
    <x v="42"/>
    <m/>
    <s v="Simon Kimani"/>
    <x v="5"/>
    <x v="2"/>
    <x v="0"/>
    <s v="Not Provided "/>
    <x v="0"/>
    <x v="1"/>
    <m/>
    <m/>
    <s v="Not Provided"/>
    <m/>
    <m/>
    <s v="Gituamba village"/>
    <x v="17"/>
  </r>
  <r>
    <s v="Not Provided"/>
    <s v="Tuko News"/>
    <d v="2023-10-22T00:00:00"/>
    <x v="0"/>
    <x v="112"/>
    <x v="13"/>
    <m/>
    <s v="Not Provided"/>
    <x v="2"/>
    <x v="0"/>
    <x v="2"/>
    <s v="stabbed"/>
    <x v="18"/>
    <x v="1"/>
    <m/>
    <m/>
    <s v="Not Provided"/>
    <m/>
    <m/>
    <s v="Gatundu North"/>
    <x v="17"/>
  </r>
  <r>
    <s v="Elias Yaa Elias Yaa"/>
    <s v="The Star "/>
    <d v="2020-03-13T00:00:00"/>
    <x v="0"/>
    <x v="113"/>
    <x v="3"/>
    <m/>
    <s v="Munga Mwangemi"/>
    <x v="3"/>
    <x v="0"/>
    <x v="2"/>
    <s v="Not Provided "/>
    <x v="0"/>
    <x v="1"/>
    <m/>
    <m/>
    <s v="Not Provided"/>
    <m/>
    <m/>
    <s v="Mikanjui village"/>
    <x v="18"/>
  </r>
  <r>
    <s v="Maureen Ongala"/>
    <s v="Daily Nation "/>
    <d v="2023-01-30T00:00:00"/>
    <x v="0"/>
    <x v="114"/>
    <x v="12"/>
    <m/>
    <s v="Hillary Tsuma"/>
    <x v="0"/>
    <x v="0"/>
    <x v="0"/>
    <s v="stabbed"/>
    <x v="19"/>
    <x v="1"/>
    <m/>
    <m/>
    <s v="Not Provided"/>
    <m/>
    <m/>
    <s v="Mwanzai"/>
    <x v="18"/>
  </r>
  <r>
    <s v="Munene Kamau"/>
    <s v="Standard Digital "/>
    <d v="2018-03-06T00:00:00"/>
    <x v="0"/>
    <x v="115"/>
    <x v="43"/>
    <m/>
    <s v="Not Provided"/>
    <x v="0"/>
    <x v="0"/>
    <x v="0"/>
    <s v="hacked"/>
    <x v="1"/>
    <x v="1"/>
    <m/>
    <m/>
    <s v="Not Provided"/>
    <m/>
    <m/>
    <s v="Kathunguri village"/>
    <x v="19"/>
  </r>
  <r>
    <s v="Munene Kamau"/>
    <s v="Standard Digital "/>
    <d v="2018-06-03T00:00:00"/>
    <x v="0"/>
    <x v="116"/>
    <x v="18"/>
    <m/>
    <s v="Not Provided"/>
    <x v="6"/>
    <x v="0"/>
    <x v="0"/>
    <s v="stabbed"/>
    <x v="8"/>
    <x v="1"/>
    <m/>
    <m/>
    <s v="Not Provided"/>
    <m/>
    <m/>
    <s v="Riandira village"/>
    <x v="19"/>
  </r>
  <r>
    <s v="George Munene"/>
    <s v="Daily Nation "/>
    <d v="2019-02-17T00:00:00"/>
    <x v="0"/>
    <x v="117"/>
    <x v="13"/>
    <m/>
    <s v="Not Provided"/>
    <x v="3"/>
    <x v="0"/>
    <x v="2"/>
    <s v="sexual assault"/>
    <x v="1"/>
    <x v="1"/>
    <m/>
    <m/>
    <s v="Not Provided"/>
    <m/>
    <m/>
    <s v="Rukanga village"/>
    <x v="19"/>
  </r>
  <r>
    <s v="George Munene"/>
    <s v="Daily Nation "/>
    <d v="2019-06-02T00:00:00"/>
    <x v="0"/>
    <x v="118"/>
    <x v="0"/>
    <m/>
    <s v="Not Provided"/>
    <x v="0"/>
    <x v="0"/>
    <x v="0"/>
    <s v="Strangled"/>
    <x v="20"/>
    <x v="1"/>
    <m/>
    <m/>
    <s v="Not Provided"/>
    <m/>
    <m/>
    <s v="Rukanga village"/>
    <x v="19"/>
  </r>
  <r>
    <s v="George Munene"/>
    <s v="Daily Nation "/>
    <d v="2019-08-12T00:00:00"/>
    <x v="0"/>
    <x v="119"/>
    <x v="15"/>
    <m/>
    <s v="Not Provided"/>
    <x v="4"/>
    <x v="1"/>
    <x v="0"/>
    <s v="Strangled"/>
    <x v="0"/>
    <x v="1"/>
    <m/>
    <m/>
    <s v="Not Provided"/>
    <m/>
    <m/>
    <s v="Kanyage village"/>
    <x v="19"/>
  </r>
  <r>
    <s v="George Munene"/>
    <s v="Daily Nation "/>
    <d v="2019-12-20T00:00:00"/>
    <x v="0"/>
    <x v="120"/>
    <x v="0"/>
    <m/>
    <s v="Samuel Kiama"/>
    <x v="0"/>
    <x v="0"/>
    <x v="0"/>
    <s v="stabbed"/>
    <x v="1"/>
    <x v="3"/>
    <m/>
    <m/>
    <s v="Not Provided"/>
    <m/>
    <m/>
    <s v="Kianyaga town"/>
    <x v="19"/>
  </r>
  <r>
    <s v="George Munene"/>
    <s v="Daily Nation "/>
    <d v="2020-04-18T00:00:00"/>
    <x v="0"/>
    <x v="1"/>
    <x v="40"/>
    <m/>
    <s v="Not Provided"/>
    <x v="0"/>
    <x v="0"/>
    <x v="0"/>
    <s v="blunt force"/>
    <x v="1"/>
    <x v="1"/>
    <m/>
    <m/>
    <s v="Not Provided"/>
    <m/>
    <m/>
    <s v="Kiandai village"/>
    <x v="19"/>
  </r>
  <r>
    <s v="Wangechi Wangondu"/>
    <s v="The Star "/>
    <d v="2020-11-18T00:00:00"/>
    <x v="0"/>
    <x v="121"/>
    <x v="0"/>
    <m/>
    <s v="Simon Tama"/>
    <x v="1"/>
    <x v="0"/>
    <x v="0"/>
    <s v="stabbed"/>
    <x v="1"/>
    <x v="1"/>
    <m/>
    <m/>
    <s v="Not Provided"/>
    <m/>
    <m/>
    <s v="Mwea"/>
    <x v="19"/>
  </r>
  <r>
    <s v="By _x000a_ George Munene"/>
    <s v="The Nation"/>
    <d v="2020-12-12T00:00:00"/>
    <x v="0"/>
    <x v="122"/>
    <x v="44"/>
    <m/>
    <s v="Not Provided"/>
    <x v="4"/>
    <x v="1"/>
    <x v="2"/>
    <s v="Strangled"/>
    <x v="0"/>
    <x v="1"/>
    <m/>
    <m/>
    <s v="Not Provided"/>
    <m/>
    <m/>
    <s v="Ngucui village"/>
    <x v="19"/>
  </r>
  <r>
    <s v="Jael Mboga And Kariuki Timothy"/>
    <s v="Standard Digital "/>
    <d v="2021-11-30T00:00:00"/>
    <x v="0"/>
    <x v="123"/>
    <x v="6"/>
    <m/>
    <s v="Paul Murage"/>
    <x v="0"/>
    <x v="0"/>
    <x v="0"/>
    <s v="stabbed"/>
    <x v="1"/>
    <x v="2"/>
    <d v="2021-12-01T00:00:00"/>
    <m/>
    <s v="Not Provided"/>
    <m/>
    <m/>
    <s v="Kathata village"/>
    <x v="19"/>
  </r>
  <r>
    <s v="Timothy Kariuki"/>
    <s v="Standard Digital "/>
    <d v="2021-12-20T00:00:00"/>
    <x v="0"/>
    <x v="124"/>
    <x v="9"/>
    <m/>
    <s v="James Muchiri"/>
    <x v="0"/>
    <x v="0"/>
    <x v="0"/>
    <s v="burned"/>
    <x v="2"/>
    <x v="1"/>
    <m/>
    <m/>
    <s v="Not Provided"/>
    <m/>
    <m/>
    <s v="Kithima village"/>
    <x v="19"/>
  </r>
  <r>
    <s v="Wangechi Wang'Ondu"/>
    <s v="The Star "/>
    <d v="2022-11-03T00:00:00"/>
    <x v="0"/>
    <x v="125"/>
    <x v="29"/>
    <m/>
    <s v="James Kigoto Mbutu"/>
    <x v="0"/>
    <x v="0"/>
    <x v="0"/>
    <s v="stabbed"/>
    <x v="1"/>
    <x v="3"/>
    <m/>
    <m/>
    <s v="Not Provided"/>
    <m/>
    <m/>
    <s v="Kibaratani village"/>
    <x v="19"/>
  </r>
  <r>
    <s v="George Munene"/>
    <s v="Daily Nation "/>
    <d v="2023-03-03T00:00:00"/>
    <x v="0"/>
    <x v="126"/>
    <x v="17"/>
    <m/>
    <s v="Not Provided"/>
    <x v="3"/>
    <x v="0"/>
    <x v="0"/>
    <s v="blunt force"/>
    <x v="0"/>
    <x v="1"/>
    <m/>
    <m/>
    <s v="Not Provided"/>
    <m/>
    <m/>
    <s v="Thiba village in Kirinyaga"/>
    <x v="19"/>
  </r>
  <r>
    <s v=" Lucy Njogu"/>
    <s v=" K24 Digital"/>
    <d v="2023-07-03T00:00:00"/>
    <x v="0"/>
    <x v="1"/>
    <x v="45"/>
    <d v="2023-05-14T00:00:00"/>
    <s v="John Kariuki"/>
    <x v="6"/>
    <x v="2"/>
    <x v="2"/>
    <s v="Strangled"/>
    <x v="0"/>
    <x v="1"/>
    <m/>
    <m/>
    <s v="Not Provided"/>
    <m/>
    <m/>
    <s v="Rwamuthambi river in Kagio town"/>
    <x v="19"/>
  </r>
  <r>
    <s v="Wangechi Wang'Ondu"/>
    <s v="The Star "/>
    <d v="2023-07-04T00:00:00"/>
    <x v="0"/>
    <x v="127"/>
    <x v="9"/>
    <m/>
    <s v="Julius Gichobi Mambo"/>
    <x v="0"/>
    <x v="0"/>
    <x v="0"/>
    <s v="blunt force"/>
    <x v="21"/>
    <x v="1"/>
    <m/>
    <m/>
    <s v="Not Provided"/>
    <m/>
    <m/>
    <s v="Gichugu"/>
    <x v="19"/>
  </r>
  <r>
    <s v="Munene Kamau"/>
    <s v="Standard digital"/>
    <d v="2021-05-03T00:00:00"/>
    <x v="0"/>
    <x v="128"/>
    <x v="4"/>
    <m/>
    <s v="Not Provided"/>
    <x v="4"/>
    <x v="1"/>
    <x v="0"/>
    <s v="sexual assault"/>
    <x v="0"/>
    <x v="0"/>
    <m/>
    <m/>
    <s v="Not Provided"/>
    <m/>
    <m/>
    <s v="Kithure village"/>
    <x v="19"/>
  </r>
  <r>
    <s v="Erick Abuga"/>
    <s v="Standard Digital "/>
    <d v="2016-12-19T00:00:00"/>
    <x v="0"/>
    <x v="129"/>
    <x v="46"/>
    <m/>
    <s v="Not Provided"/>
    <x v="4"/>
    <x v="1"/>
    <x v="2"/>
    <s v="hacked"/>
    <x v="0"/>
    <x v="1"/>
    <m/>
    <m/>
    <s v="Not Provided"/>
    <m/>
    <m/>
    <s v="Getare"/>
    <x v="20"/>
  </r>
  <r>
    <s v="Erick Abuga"/>
    <s v="Standard Digital "/>
    <d v="2017-05-26T00:00:00"/>
    <x v="0"/>
    <x v="130"/>
    <x v="13"/>
    <d v="2017-05-25T00:00:00"/>
    <s v="Samson Obwacha (deceased)"/>
    <x v="3"/>
    <x v="0"/>
    <x v="3"/>
    <s v="Strangled"/>
    <x v="1"/>
    <x v="0"/>
    <m/>
    <m/>
    <s v="Not Provided"/>
    <m/>
    <m/>
    <s v="Kisii University"/>
    <x v="20"/>
  </r>
  <r>
    <s v="Eric Abuga"/>
    <s v="Standard Digital "/>
    <d v="2017-06-15T00:00:00"/>
    <x v="0"/>
    <x v="131"/>
    <x v="1"/>
    <m/>
    <s v="Bernard Kiiru (deceased)"/>
    <x v="5"/>
    <x v="2"/>
    <x v="0"/>
    <s v="stabbed"/>
    <x v="2"/>
    <x v="0"/>
    <m/>
    <m/>
    <s v="Not Provided"/>
    <m/>
    <m/>
    <s v="Botori village"/>
    <x v="20"/>
  </r>
  <r>
    <s v="Hyline Charo"/>
    <s v="Citizen Digital"/>
    <d v="2018-07-22T00:00:00"/>
    <x v="0"/>
    <x v="132"/>
    <x v="14"/>
    <m/>
    <s v="Omundi Nyabuto"/>
    <x v="3"/>
    <x v="0"/>
    <x v="2"/>
    <s v="blunt force"/>
    <x v="2"/>
    <x v="1"/>
    <m/>
    <m/>
    <s v="Not Provided"/>
    <m/>
    <m/>
    <s v="Bomwanch village"/>
    <x v="20"/>
  </r>
  <r>
    <s v="Erick Abuga"/>
    <s v="Standard Digital "/>
    <d v="2018-09-26T00:00:00"/>
    <x v="0"/>
    <x v="133"/>
    <x v="47"/>
    <m/>
    <s v="Not Provided"/>
    <x v="2"/>
    <x v="0"/>
    <x v="2"/>
    <s v="Not Provided "/>
    <x v="2"/>
    <x v="1"/>
    <m/>
    <m/>
    <s v="Not Provided"/>
    <m/>
    <m/>
    <s v="Mariba village"/>
    <x v="20"/>
  </r>
  <r>
    <s v="James Kahongeh"/>
    <s v="Daily Nation "/>
    <d v="2019-01-19T00:00:00"/>
    <x v="0"/>
    <x v="134"/>
    <x v="0"/>
    <m/>
    <s v="Innocent Sokoro"/>
    <x v="2"/>
    <x v="0"/>
    <x v="0"/>
    <s v="Strangled"/>
    <x v="1"/>
    <x v="1"/>
    <m/>
    <m/>
    <s v="Not Provided"/>
    <m/>
    <m/>
    <s v="Kenyanya"/>
    <x v="20"/>
  </r>
  <r>
    <s v="Not Provided"/>
    <s v="Standard Media"/>
    <m/>
    <x v="0"/>
    <x v="135"/>
    <x v="0"/>
    <m/>
    <s v="Not Provided"/>
    <x v="4"/>
    <x v="1"/>
    <x v="1"/>
    <s v="Not Provided "/>
    <x v="0"/>
    <x v="0"/>
    <m/>
    <m/>
    <s v="Not Provided"/>
    <m/>
    <m/>
    <s v="Kisii County"/>
    <x v="20"/>
  </r>
  <r>
    <s v="Not Provided"/>
    <s v="Daily Nation Youtube"/>
    <m/>
    <x v="0"/>
    <x v="136"/>
    <x v="1"/>
    <m/>
    <s v="Not Provided"/>
    <x v="0"/>
    <x v="1"/>
    <x v="1"/>
    <s v="Not Provided "/>
    <x v="0"/>
    <x v="0"/>
    <m/>
    <m/>
    <s v="Not Provided"/>
    <m/>
    <m/>
    <s v="Kisii County"/>
    <x v="20"/>
  </r>
  <r>
    <s v="Edwin Nyarangi"/>
    <s v="Standard Digital "/>
    <d v="2021-11-17T00:00:00"/>
    <x v="0"/>
    <x v="137"/>
    <x v="0"/>
    <m/>
    <s v="George Morara"/>
    <x v="0"/>
    <x v="0"/>
    <x v="0"/>
    <s v="stabbed"/>
    <x v="1"/>
    <x v="0"/>
    <m/>
    <m/>
    <s v="guilty"/>
    <n v="40"/>
    <n v="708"/>
    <s v="Nyamariba"/>
    <x v="20"/>
  </r>
  <r>
    <s v="By _x000a_ Benson Ayienda"/>
    <s v="The Nation"/>
    <d v="2021-01-15T00:00:00"/>
    <x v="0"/>
    <x v="138"/>
    <x v="24"/>
    <m/>
    <s v="Joel Mogaka"/>
    <x v="0"/>
    <x v="0"/>
    <x v="0"/>
    <s v="Strangled"/>
    <x v="2"/>
    <x v="1"/>
    <m/>
    <m/>
    <s v="Not Provided"/>
    <m/>
    <m/>
    <s v="Bomachoge chache"/>
    <x v="20"/>
  </r>
  <r>
    <s v="Erick Abuga"/>
    <s v="Standard digital"/>
    <d v="2021-01-15T00:00:00"/>
    <x v="0"/>
    <x v="139"/>
    <x v="0"/>
    <m/>
    <s v="Joel Mogaka "/>
    <x v="0"/>
    <x v="1"/>
    <x v="0"/>
    <s v="other"/>
    <x v="0"/>
    <x v="0"/>
    <m/>
    <m/>
    <s v="Not Provided"/>
    <m/>
    <m/>
    <s v="Kisii County"/>
    <x v="20"/>
  </r>
  <r>
    <s v="Magati Obebo"/>
    <s v="The Star "/>
    <d v="2022-12-29T00:00:00"/>
    <x v="0"/>
    <x v="140"/>
    <x v="48"/>
    <m/>
    <s v="Christopher Gisiora"/>
    <x v="0"/>
    <x v="0"/>
    <x v="0"/>
    <s v="stabbed"/>
    <x v="1"/>
    <x v="1"/>
    <m/>
    <m/>
    <s v="Not Provided"/>
    <m/>
    <m/>
    <s v="Gasieka village"/>
    <x v="20"/>
  </r>
  <r>
    <s v="Cyrus Ombati"/>
    <s v="The Star "/>
    <d v="2023-06-22T00:00:00"/>
    <x v="0"/>
    <x v="1"/>
    <x v="8"/>
    <m/>
    <s v="Not Provided"/>
    <x v="0"/>
    <x v="0"/>
    <x v="0"/>
    <s v="blunt force"/>
    <x v="22"/>
    <x v="1"/>
    <m/>
    <m/>
    <s v="Not Provided"/>
    <m/>
    <m/>
    <s v="Kenyerere village"/>
    <x v="20"/>
  </r>
  <r>
    <s v="Cyrus Ombati"/>
    <s v="The Star "/>
    <d v="2023-11-11T00:00:00"/>
    <x v="0"/>
    <x v="141"/>
    <x v="14"/>
    <m/>
    <s v="_x000a_Stephen Wambura Orengo_x000a_"/>
    <x v="3"/>
    <x v="0"/>
    <x v="0"/>
    <s v="hacked"/>
    <x v="23"/>
    <x v="1"/>
    <d v="2023-11-15T00:00:00"/>
    <m/>
    <s v="Not Provided"/>
    <m/>
    <m/>
    <s v="Kisii"/>
    <x v="20"/>
  </r>
  <r>
    <s v="Faith Matete"/>
    <s v="The Star "/>
    <d v="2016-10-18T00:00:00"/>
    <x v="0"/>
    <x v="142"/>
    <x v="30"/>
    <m/>
    <s v="Duncan Omondi"/>
    <x v="0"/>
    <x v="0"/>
    <x v="0"/>
    <s v="Strangled"/>
    <x v="1"/>
    <x v="1"/>
    <m/>
    <m/>
    <s v="Not Provided"/>
    <m/>
    <m/>
    <s v="Nyalenda Kalejo"/>
    <x v="21"/>
  </r>
  <r>
    <s v="Faith Matete"/>
    <s v="The Star "/>
    <d v="2017-03-07T00:00:00"/>
    <x v="0"/>
    <x v="143"/>
    <x v="0"/>
    <m/>
    <s v="Jacob Odhiambo"/>
    <x v="0"/>
    <x v="0"/>
    <x v="2"/>
    <s v="Not Provided "/>
    <x v="1"/>
    <x v="0"/>
    <m/>
    <m/>
    <s v="Not Provided"/>
    <m/>
    <m/>
    <s v="Waambo village"/>
    <x v="21"/>
  </r>
  <r>
    <s v="Faith Matete"/>
    <s v="The Star "/>
    <d v="2017-04-06T00:00:00"/>
    <x v="0"/>
    <x v="1"/>
    <x v="0"/>
    <m/>
    <s v="Not Provided"/>
    <x v="3"/>
    <x v="0"/>
    <x v="2"/>
    <s v="hacked"/>
    <x v="0"/>
    <x v="0"/>
    <m/>
    <m/>
    <s v="Not Provided"/>
    <m/>
    <m/>
    <s v="Kajulu"/>
    <x v="21"/>
  </r>
  <r>
    <s v="John Oywa"/>
    <s v="Standard Digital "/>
    <d v="2017-06-11T00:00:00"/>
    <x v="0"/>
    <x v="144"/>
    <x v="49"/>
    <m/>
    <s v="Not Provided"/>
    <x v="5"/>
    <x v="2"/>
    <x v="2"/>
    <s v="stabbed"/>
    <x v="5"/>
    <x v="0"/>
    <m/>
    <m/>
    <s v="Not Provided"/>
    <m/>
    <m/>
    <s v="Kisumu town"/>
    <x v="21"/>
  </r>
  <r>
    <s v="Olivia Odhiambo"/>
    <s v="Standard digital"/>
    <d v="2018-06-21T00:00:00"/>
    <x v="0"/>
    <x v="145"/>
    <x v="46"/>
    <m/>
    <s v="Not Provided"/>
    <x v="6"/>
    <x v="2"/>
    <x v="2"/>
    <s v="sexual assault"/>
    <x v="0"/>
    <x v="1"/>
    <m/>
    <m/>
    <s v="Not Provided"/>
    <m/>
    <m/>
    <s v="Not Provided"/>
    <x v="21"/>
  </r>
  <r>
    <s v="Kevin Omollo"/>
    <s v="Standard digital"/>
    <d v="2018-12-18T00:00:00"/>
    <x v="0"/>
    <x v="146"/>
    <x v="0"/>
    <m/>
    <s v="Shem Nyakinda"/>
    <x v="0"/>
    <x v="0"/>
    <x v="0"/>
    <s v="stabbed"/>
    <x v="2"/>
    <x v="1"/>
    <m/>
    <m/>
    <s v="Not Provided"/>
    <m/>
    <m/>
    <s v="Ziwani village"/>
    <x v="21"/>
  </r>
  <r>
    <s v="Not Provided"/>
    <s v="SDE"/>
    <m/>
    <x v="0"/>
    <x v="147"/>
    <x v="0"/>
    <m/>
    <s v="Not Provided"/>
    <x v="3"/>
    <x v="1"/>
    <x v="1"/>
    <s v="Not Provided "/>
    <x v="0"/>
    <x v="0"/>
    <m/>
    <m/>
    <s v="Not Provided"/>
    <m/>
    <m/>
    <s v="Kisumu County"/>
    <x v="21"/>
  </r>
  <r>
    <s v="Angeline Ochieng"/>
    <s v="Daily Nation "/>
    <d v="2020-04-11T00:00:00"/>
    <x v="0"/>
    <x v="148"/>
    <x v="30"/>
    <m/>
    <s v="stanley Eugene"/>
    <x v="6"/>
    <x v="2"/>
    <x v="0"/>
    <s v="blunt force"/>
    <x v="5"/>
    <x v="1"/>
    <m/>
    <m/>
    <s v="Not Provided"/>
    <m/>
    <m/>
    <s v="Dunga"/>
    <x v="21"/>
  </r>
  <r>
    <s v="Kevine Omollo"/>
    <s v="Standard digital"/>
    <m/>
    <x v="0"/>
    <x v="1"/>
    <x v="0"/>
    <m/>
    <s v="Not Provided"/>
    <x v="7"/>
    <x v="2"/>
    <x v="0"/>
    <s v="blunt force"/>
    <x v="0"/>
    <x v="0"/>
    <m/>
    <m/>
    <s v="Not Provided"/>
    <m/>
    <m/>
    <s v="Keti village in Nyangâ€™oma"/>
    <x v="21"/>
  </r>
  <r>
    <s v="Harold Odhiambo"/>
    <s v="Standard Digital "/>
    <d v="2021-09-30T00:00:00"/>
    <x v="0"/>
    <x v="149"/>
    <x v="23"/>
    <m/>
    <s v="Michelle"/>
    <x v="6"/>
    <x v="2"/>
    <x v="2"/>
    <s v="stabbed"/>
    <x v="2"/>
    <x v="1"/>
    <m/>
    <m/>
    <s v="Not Provided"/>
    <m/>
    <m/>
    <s v="Kasawino Market Manyatta"/>
    <x v="21"/>
  </r>
  <r>
    <s v="Faith Matete"/>
    <s v="The Star "/>
    <d v="2022-05-07T00:00:00"/>
    <x v="0"/>
    <x v="1"/>
    <x v="5"/>
    <d v="2022-05-06T00:00:00"/>
    <s v="Denis Okeyo"/>
    <x v="0"/>
    <x v="0"/>
    <x v="0"/>
    <s v="blunt force"/>
    <x v="2"/>
    <x v="1"/>
    <m/>
    <m/>
    <s v="Not Provided"/>
    <m/>
    <m/>
    <s v="Koguta village"/>
    <x v="21"/>
  </r>
  <r>
    <s v="Victor Raballa"/>
    <s v="Daily Nation "/>
    <d v="2023-01-24T00:00:00"/>
    <x v="0"/>
    <x v="150"/>
    <x v="50"/>
    <m/>
    <s v="Not Provided"/>
    <x v="0"/>
    <x v="0"/>
    <x v="0"/>
    <s v="Not Provided "/>
    <x v="0"/>
    <x v="1"/>
    <m/>
    <m/>
    <s v="Not Provided"/>
    <m/>
    <m/>
    <s v="Rabuor"/>
    <x v="21"/>
  </r>
  <r>
    <s v="Maurice Alal"/>
    <s v="The Star "/>
    <d v="2023-05-01T00:00:00"/>
    <x v="0"/>
    <x v="1"/>
    <x v="0"/>
    <m/>
    <s v="Not Provided"/>
    <x v="0"/>
    <x v="0"/>
    <x v="0"/>
    <s v="hacked"/>
    <x v="1"/>
    <x v="1"/>
    <m/>
    <m/>
    <s v="Not Provided"/>
    <m/>
    <m/>
    <s v="Nyakach"/>
    <x v="21"/>
  </r>
  <r>
    <s v="Maurice Alal"/>
    <s v="The Star "/>
    <d v="2023-05-24T00:00:00"/>
    <x v="0"/>
    <x v="151"/>
    <x v="0"/>
    <d v="2023-05-22T00:00:00"/>
    <s v="Not Provided"/>
    <x v="0"/>
    <x v="0"/>
    <x v="0"/>
    <s v="hacked"/>
    <x v="24"/>
    <x v="1"/>
    <m/>
    <m/>
    <s v="Not Provided"/>
    <m/>
    <m/>
    <s v="Nyakach"/>
    <x v="21"/>
  </r>
  <r>
    <s v="Kevin Omolo, Rhoda Okumu And Susan Odawa "/>
    <s v="Standard Digital "/>
    <d v="2016-11-29T00:00:00"/>
    <x v="0"/>
    <x v="152"/>
    <x v="12"/>
    <m/>
    <s v=" Willis Otieno"/>
    <x v="0"/>
    <x v="0"/>
    <x v="0"/>
    <s v="stabbed"/>
    <x v="0"/>
    <x v="0"/>
    <m/>
    <m/>
    <s v="Not Provided"/>
    <m/>
    <m/>
    <s v="Bandani village"/>
    <x v="21"/>
  </r>
  <r>
    <s v="Paul Mutua"/>
    <s v="Standard digital"/>
    <m/>
    <x v="0"/>
    <x v="153"/>
    <x v="14"/>
    <m/>
    <s v="Alexander Mbevo Mutemi"/>
    <x v="2"/>
    <x v="0"/>
    <x v="0"/>
    <s v="stabbed"/>
    <x v="0"/>
    <x v="0"/>
    <m/>
    <d v="2020-09-25T00:00:00"/>
    <s v="guilty"/>
    <m/>
    <n v="2507"/>
    <s v="Kavililo village"/>
    <x v="22"/>
  </r>
  <r>
    <s v="John Mula"/>
    <s v="Standard Digital "/>
    <d v="2016-04-29T00:00:00"/>
    <x v="0"/>
    <x v="154"/>
    <x v="5"/>
    <m/>
    <s v="Fredrick Mutia"/>
    <x v="3"/>
    <x v="0"/>
    <x v="0"/>
    <s v="shot"/>
    <x v="0"/>
    <x v="0"/>
    <m/>
    <m/>
    <s v="Not Provided"/>
    <m/>
    <m/>
    <s v="Kitui"/>
    <x v="22"/>
  </r>
  <r>
    <s v="Musembi Nzengu"/>
    <s v="The Star "/>
    <d v="2018-12-21T00:00:00"/>
    <x v="0"/>
    <x v="1"/>
    <x v="17"/>
    <m/>
    <s v="Thenge Mutua"/>
    <x v="0"/>
    <x v="0"/>
    <x v="0"/>
    <s v="hacked"/>
    <x v="1"/>
    <x v="1"/>
    <m/>
    <m/>
    <s v="Not Provided"/>
    <m/>
    <m/>
    <s v="Thua village"/>
    <x v="22"/>
  </r>
  <r>
    <s v="Musembi Nzengu"/>
    <s v="The Star "/>
    <d v="2019-05-09T00:00:00"/>
    <x v="0"/>
    <x v="155"/>
    <x v="21"/>
    <d v="2019-05-07T00:00:00"/>
    <s v="John Mutinda"/>
    <x v="0"/>
    <x v="0"/>
    <x v="0"/>
    <s v="hacked"/>
    <x v="1"/>
    <x v="1"/>
    <m/>
    <m/>
    <s v="Not Provided"/>
    <m/>
    <m/>
    <s v="Katithini village"/>
    <x v="22"/>
  </r>
  <r>
    <s v="Kitavi Mutua"/>
    <s v="Daily Nation "/>
    <d v="2020-01-10T00:00:00"/>
    <x v="0"/>
    <x v="156"/>
    <x v="0"/>
    <m/>
    <s v="Lawrence Mbindi Ndolo"/>
    <x v="0"/>
    <x v="0"/>
    <x v="0"/>
    <s v="hacked"/>
    <x v="2"/>
    <x v="1"/>
    <m/>
    <m/>
    <s v="Not Provided"/>
    <m/>
    <m/>
    <s v="Makuka village"/>
    <x v="22"/>
  </r>
  <r>
    <s v="Musembi Nzengu"/>
    <s v="The Star "/>
    <d v="2021-04-13T00:00:00"/>
    <x v="0"/>
    <x v="157"/>
    <x v="39"/>
    <m/>
    <s v="Michael Nguu Musyoka"/>
    <x v="3"/>
    <x v="0"/>
    <x v="0"/>
    <s v="stabbed"/>
    <x v="8"/>
    <x v="1"/>
    <m/>
    <m/>
    <s v="Not Provided"/>
    <m/>
    <m/>
    <s v="Kisai ward"/>
    <x v="22"/>
  </r>
  <r>
    <s v="Philip Muasya"/>
    <s v="Standard Digital "/>
    <d v="2021-05-21T00:00:00"/>
    <x v="0"/>
    <x v="158"/>
    <x v="40"/>
    <d v="2021-05-18T00:00:00"/>
    <s v="Const. David Kimani Nduati"/>
    <x v="3"/>
    <x v="0"/>
    <x v="0"/>
    <s v="Not Provided "/>
    <x v="1"/>
    <x v="1"/>
    <m/>
    <m/>
    <s v="Not Provided"/>
    <m/>
    <m/>
    <s v="Mwingi"/>
    <x v="22"/>
  </r>
  <r>
    <s v=" Zipporah Ngwatu"/>
    <s v="K24 Digital"/>
    <d v="2023-03-24T00:00:00"/>
    <x v="0"/>
    <x v="1"/>
    <x v="19"/>
    <m/>
    <s v="Not Provided"/>
    <x v="0"/>
    <x v="0"/>
    <x v="0"/>
    <s v="Strangled"/>
    <x v="0"/>
    <x v="1"/>
    <m/>
    <m/>
    <s v="Not Provided"/>
    <m/>
    <m/>
    <s v="Kitui Town"/>
    <x v="22"/>
  </r>
  <r>
    <s v="Musembi Nzengu And Gerald Mutethia"/>
    <s v="The Star "/>
    <d v="2023-08-18T00:00:00"/>
    <x v="0"/>
    <x v="159"/>
    <x v="0"/>
    <m/>
    <s v="Mutati Mwaniki "/>
    <x v="3"/>
    <x v="0"/>
    <x v="0"/>
    <s v="hacked"/>
    <x v="25"/>
    <x v="6"/>
    <m/>
    <m/>
    <s v="Not Provided"/>
    <m/>
    <m/>
    <s v="Kiima village in Kamuwongo division of Kyuso sub county"/>
    <x v="22"/>
  </r>
  <r>
    <s v="Annette Wambulwa"/>
    <s v="The Star "/>
    <d v="2020-04-29T00:00:00"/>
    <x v="0"/>
    <x v="160"/>
    <x v="0"/>
    <m/>
    <s v="Mdoe Kombe"/>
    <x v="0"/>
    <x v="0"/>
    <x v="0"/>
    <s v="stabbed"/>
    <x v="2"/>
    <x v="0"/>
    <m/>
    <d v="2020-04-29T00:00:00"/>
    <s v="guilty"/>
    <n v="20"/>
    <n v="3130"/>
    <s v="Majungwani village"/>
    <x v="23"/>
  </r>
  <r>
    <s v="Fadhili Fredrick"/>
    <s v="Daily Nation "/>
    <d v="2018-01-18T00:00:00"/>
    <x v="0"/>
    <x v="1"/>
    <x v="0"/>
    <m/>
    <s v="Onesmus Mutuku Kilonzo"/>
    <x v="0"/>
    <x v="0"/>
    <x v="0"/>
    <s v="hacked"/>
    <x v="1"/>
    <x v="1"/>
    <m/>
    <m/>
    <s v="Not Provided"/>
    <m/>
    <m/>
    <s v="Maendeleo village"/>
    <x v="23"/>
  </r>
  <r>
    <s v="Not Provided"/>
    <s v="The Star "/>
    <m/>
    <x v="0"/>
    <x v="161"/>
    <x v="13"/>
    <m/>
    <s v="Not Provided"/>
    <x v="0"/>
    <x v="1"/>
    <x v="1"/>
    <s v="Not Provided "/>
    <x v="0"/>
    <x v="0"/>
    <m/>
    <m/>
    <s v="Not Provided"/>
    <m/>
    <m/>
    <s v="Kwale County"/>
    <x v="23"/>
  </r>
  <r>
    <s v="Andrew Kasuku"/>
    <s v="The Star "/>
    <d v="2020-12-06T00:00:00"/>
    <x v="0"/>
    <x v="162"/>
    <x v="0"/>
    <m/>
    <s v="Tonik Oloo"/>
    <x v="0"/>
    <x v="0"/>
    <x v="0"/>
    <s v="shot"/>
    <x v="1"/>
    <x v="3"/>
    <m/>
    <m/>
    <s v="Not Provided"/>
    <m/>
    <m/>
    <s v="Lungalunga"/>
    <x v="23"/>
  </r>
  <r>
    <s v="Eliud Waithaka"/>
    <s v="The Star "/>
    <d v="2018-04-12T00:00:00"/>
    <x v="0"/>
    <x v="163"/>
    <x v="0"/>
    <m/>
    <s v="John Mathenge"/>
    <x v="0"/>
    <x v="0"/>
    <x v="0"/>
    <s v="burned"/>
    <x v="20"/>
    <x v="0"/>
    <d v="2018-01-30T00:00:00"/>
    <d v="2018-04-12T00:00:00"/>
    <s v="guilty"/>
    <n v="20"/>
    <n v="853"/>
    <s v="Likii Estate"/>
    <x v="24"/>
  </r>
  <r>
    <s v="Steve Njuguna"/>
    <s v="Daily Nation "/>
    <d v="2016-10-04T00:00:00"/>
    <x v="0"/>
    <x v="164"/>
    <x v="13"/>
    <m/>
    <s v="Not Provided"/>
    <x v="3"/>
    <x v="0"/>
    <x v="0"/>
    <s v="blunt force"/>
    <x v="2"/>
    <x v="1"/>
    <m/>
    <m/>
    <s v="Not Provided"/>
    <m/>
    <m/>
    <s v="Pesi village"/>
    <x v="24"/>
  </r>
  <r>
    <s v="Jacinta Mutura"/>
    <s v="Standard digital"/>
    <d v="2018-03-05T00:00:00"/>
    <x v="0"/>
    <x v="165"/>
    <x v="1"/>
    <m/>
    <s v="Njeri"/>
    <x v="4"/>
    <x v="2"/>
    <x v="2"/>
    <s v="stabbed"/>
    <x v="2"/>
    <x v="1"/>
    <m/>
    <m/>
    <s v="Not Provided"/>
    <m/>
    <m/>
    <s v="Nanyuki town"/>
    <x v="24"/>
  </r>
  <r>
    <s v="Not Provided"/>
    <s v="Standard Media"/>
    <m/>
    <x v="0"/>
    <x v="166"/>
    <x v="8"/>
    <m/>
    <s v="Not Provided"/>
    <x v="0"/>
    <x v="1"/>
    <x v="1"/>
    <s v="Not Provided "/>
    <x v="0"/>
    <x v="0"/>
    <m/>
    <m/>
    <s v="Not Provided"/>
    <m/>
    <m/>
    <s v="Laikipia County"/>
    <x v="24"/>
  </r>
  <r>
    <s v="James Murimi"/>
    <s v="Daily Nation "/>
    <d v="2019-11-16T00:00:00"/>
    <x v="0"/>
    <x v="167"/>
    <x v="28"/>
    <m/>
    <s v="Major Peter Mwaura"/>
    <x v="1"/>
    <x v="0"/>
    <x v="0"/>
    <s v="Strangled"/>
    <x v="2"/>
    <x v="2"/>
    <d v="2019-11-18T00:00:00"/>
    <m/>
    <s v="Not Provided"/>
    <m/>
    <m/>
    <s v="Thigithu Estate"/>
    <x v="24"/>
  </r>
  <r>
    <s v="Ndichu Wainaina"/>
    <s v="The Star "/>
    <d v="2020-01-22T00:00:00"/>
    <x v="0"/>
    <x v="168"/>
    <x v="16"/>
    <m/>
    <s v="David Wambugu Kanyi"/>
    <x v="4"/>
    <x v="1"/>
    <x v="0"/>
    <s v="blunt force"/>
    <x v="0"/>
    <x v="1"/>
    <m/>
    <m/>
    <s v="Not Provided"/>
    <m/>
    <m/>
    <s v="Mutara"/>
    <x v="24"/>
  </r>
  <r>
    <s v="Kalume Kazungu"/>
    <s v="Daily Nation "/>
    <d v="2018-10-12T00:00:00"/>
    <x v="0"/>
    <x v="169"/>
    <x v="28"/>
    <m/>
    <s v="Samuel Muhuri"/>
    <x v="0"/>
    <x v="0"/>
    <x v="0"/>
    <s v="Strangled"/>
    <x v="1"/>
    <x v="1"/>
    <m/>
    <m/>
    <s v="Not Provided"/>
    <m/>
    <m/>
    <s v="Gadeni"/>
    <x v="25"/>
  </r>
  <r>
    <s v="Akello Odenyo"/>
    <s v="The Star "/>
    <d v="2021-02-20T00:00:00"/>
    <x v="0"/>
    <x v="170"/>
    <x v="0"/>
    <m/>
    <s v="KMM"/>
    <x v="1"/>
    <x v="0"/>
    <x v="2"/>
    <s v="stabbed"/>
    <x v="1"/>
    <x v="0"/>
    <m/>
    <d v="2021-02-17T00:00:00"/>
    <s v="Not Guilty"/>
    <m/>
    <n v="2976"/>
    <s v="Mwala"/>
    <x v="26"/>
  </r>
  <r>
    <s v="George Owiti"/>
    <s v="The Star "/>
    <d v="2017-04-21T00:00:00"/>
    <x v="0"/>
    <x v="171"/>
    <x v="0"/>
    <m/>
    <s v="Not Provided"/>
    <x v="4"/>
    <x v="1"/>
    <x v="2"/>
    <s v="blunt force"/>
    <x v="6"/>
    <x v="1"/>
    <m/>
    <m/>
    <s v="Not Provided"/>
    <m/>
    <m/>
    <s v="Mlolongo town"/>
    <x v="26"/>
  </r>
  <r>
    <s v="George Owiti"/>
    <s v="The Star "/>
    <d v="2020-01-02T00:00:00"/>
    <x v="0"/>
    <x v="1"/>
    <x v="0"/>
    <m/>
    <s v="Not Provided"/>
    <x v="4"/>
    <x v="1"/>
    <x v="2"/>
    <s v="Strangled"/>
    <x v="0"/>
    <x v="1"/>
    <m/>
    <m/>
    <s v="Not Provided"/>
    <m/>
    <m/>
    <s v="Machakos town"/>
    <x v="26"/>
  </r>
  <r>
    <s v="Philomena Kilonzo"/>
    <s v="The Star "/>
    <d v="2020-03-19T00:00:00"/>
    <x v="0"/>
    <x v="172"/>
    <x v="31"/>
    <m/>
    <s v="Jeminsta Mutua Mbai"/>
    <x v="2"/>
    <x v="0"/>
    <x v="0"/>
    <s v="Strangled"/>
    <x v="1"/>
    <x v="3"/>
    <m/>
    <m/>
    <s v="Not Provided"/>
    <m/>
    <m/>
    <s v="Makutano"/>
    <x v="26"/>
  </r>
  <r>
    <s v="Philomena Kilonzo"/>
    <s v="The Star "/>
    <d v="2020-05-09T00:00:00"/>
    <x v="0"/>
    <x v="1"/>
    <x v="0"/>
    <d v="2020-05-02T00:00:00"/>
    <s v="Not Provided"/>
    <x v="0"/>
    <x v="0"/>
    <x v="0"/>
    <s v="stabbed"/>
    <x v="1"/>
    <x v="1"/>
    <m/>
    <m/>
    <s v="Not Provided"/>
    <m/>
    <m/>
    <s v="Mutituni"/>
    <x v="26"/>
  </r>
  <r>
    <s v="George Owiti"/>
    <s v="The Star "/>
    <d v="2021-01-25T00:00:00"/>
    <x v="0"/>
    <x v="173"/>
    <x v="0"/>
    <m/>
    <s v="Christian Kadima"/>
    <x v="4"/>
    <x v="1"/>
    <x v="0"/>
    <s v="Strangled"/>
    <x v="0"/>
    <x v="2"/>
    <d v="2021-03-02T00:00:00"/>
    <m/>
    <s v="Not Provided"/>
    <m/>
    <m/>
    <s v="Syokimau"/>
    <x v="26"/>
  </r>
  <r>
    <s v="George Owiti"/>
    <s v="The Star "/>
    <d v="2021-02-11T00:00:00"/>
    <x v="0"/>
    <x v="1"/>
    <x v="0"/>
    <m/>
    <s v="Paul Mutua"/>
    <x v="3"/>
    <x v="0"/>
    <x v="0"/>
    <s v="Strangled"/>
    <x v="20"/>
    <x v="1"/>
    <m/>
    <m/>
    <s v="Not Provided"/>
    <m/>
    <m/>
    <s v="Tufform settlement"/>
    <x v="26"/>
  </r>
  <r>
    <s v="George Owiti"/>
    <s v="The Star "/>
    <d v="2021-12-07T00:00:00"/>
    <x v="0"/>
    <x v="174"/>
    <x v="5"/>
    <m/>
    <s v="Mwango Nzioka"/>
    <x v="0"/>
    <x v="1"/>
    <x v="0"/>
    <s v="Strangled"/>
    <x v="0"/>
    <x v="0"/>
    <m/>
    <m/>
    <s v="Not Provided"/>
    <m/>
    <m/>
    <s v="Mitaboni"/>
    <x v="26"/>
  </r>
  <r>
    <s v="Patrick Mutisya"/>
    <s v="K24 Digital"/>
    <d v="2022-03-31T00:00:00"/>
    <x v="0"/>
    <x v="175"/>
    <x v="31"/>
    <m/>
    <s v="Harrison Mutisya"/>
    <x v="0"/>
    <x v="1"/>
    <x v="0"/>
    <s v="hacked"/>
    <x v="0"/>
    <x v="0"/>
    <m/>
    <m/>
    <s v="Not Provided"/>
    <m/>
    <m/>
    <s v="Kikumbo village"/>
    <x v="26"/>
  </r>
  <r>
    <s v="Not Provided"/>
    <s v="The Star "/>
    <d v="2022-03-29T00:00:00"/>
    <x v="0"/>
    <x v="176"/>
    <x v="23"/>
    <m/>
    <s v="Charles Mwania "/>
    <x v="3"/>
    <x v="1"/>
    <x v="3"/>
    <s v="other"/>
    <x v="0"/>
    <x v="0"/>
    <m/>
    <m/>
    <s v="Not Provided"/>
    <m/>
    <m/>
    <s v="Mutituni village"/>
    <x v="26"/>
  </r>
  <r>
    <s v="George Owiti"/>
    <s v="Not Provided"/>
    <d v="2022-04-08T00:00:00"/>
    <x v="0"/>
    <x v="177"/>
    <x v="5"/>
    <m/>
    <s v="Daniel Mainge"/>
    <x v="1"/>
    <x v="1"/>
    <x v="0"/>
    <s v="hacked"/>
    <x v="0"/>
    <x v="0"/>
    <m/>
    <m/>
    <s v="Not Provided"/>
    <m/>
    <m/>
    <s v="Kalunga village"/>
    <x v="26"/>
  </r>
  <r>
    <s v="George Owiti"/>
    <s v="The Star "/>
    <d v="2023-07-01T00:00:00"/>
    <x v="0"/>
    <x v="178"/>
    <x v="0"/>
    <m/>
    <s v="Peter Mwangi"/>
    <x v="3"/>
    <x v="0"/>
    <x v="2"/>
    <s v="stabbed"/>
    <x v="1"/>
    <x v="1"/>
    <m/>
    <m/>
    <s v="Not Provided"/>
    <m/>
    <m/>
    <s v="Mwala"/>
    <x v="26"/>
  </r>
  <r>
    <s v="George Owiti"/>
    <s v="The Star"/>
    <d v="2022-03-27T00:00:00"/>
    <x v="0"/>
    <x v="1"/>
    <x v="23"/>
    <m/>
    <s v="Not Provided"/>
    <x v="3"/>
    <x v="1"/>
    <x v="0"/>
    <s v="stabbed"/>
    <x v="0"/>
    <x v="0"/>
    <m/>
    <m/>
    <s v="Not Provided"/>
    <m/>
    <m/>
    <s v="Kathiani"/>
    <x v="26"/>
  </r>
  <r>
    <s v="Faustine Mutua"/>
    <s v="The Star "/>
    <d v="2017-06-03T00:00:00"/>
    <x v="0"/>
    <x v="1"/>
    <x v="0"/>
    <m/>
    <s v="Not Provided"/>
    <x v="0"/>
    <x v="0"/>
    <x v="0"/>
    <s v="hacked"/>
    <x v="1"/>
    <x v="1"/>
    <m/>
    <m/>
    <s v="Not Provided"/>
    <m/>
    <m/>
    <s v="Kwa Kiliu market"/>
    <x v="27"/>
  </r>
  <r>
    <s v="Stephen Nzioka"/>
    <s v="Standard Digital "/>
    <d v="2018-02-26T00:00:00"/>
    <x v="0"/>
    <x v="1"/>
    <x v="0"/>
    <m/>
    <s v="Kisilu"/>
    <x v="0"/>
    <x v="0"/>
    <x v="0"/>
    <s v="stabbed"/>
    <x v="1"/>
    <x v="1"/>
    <m/>
    <m/>
    <s v="Not Provided"/>
    <m/>
    <m/>
    <s v="Makindu"/>
    <x v="27"/>
  </r>
  <r>
    <s v="Mutua Kameti"/>
    <s v="The Star "/>
    <d v="2018-12-08T00:00:00"/>
    <x v="0"/>
    <x v="179"/>
    <x v="51"/>
    <m/>
    <s v="Not Provided"/>
    <x v="0"/>
    <x v="0"/>
    <x v="0"/>
    <s v="stabbed"/>
    <x v="1"/>
    <x v="1"/>
    <m/>
    <m/>
    <s v="Not Provided"/>
    <m/>
    <m/>
    <s v="Emali Bus park"/>
    <x v="27"/>
  </r>
  <r>
    <s v="Mutua Kameti"/>
    <s v="The Star "/>
    <d v="2020-03-13T00:00:00"/>
    <x v="0"/>
    <x v="180"/>
    <x v="10"/>
    <m/>
    <s v="Maithya Waema"/>
    <x v="0"/>
    <x v="0"/>
    <x v="0"/>
    <s v="hacked"/>
    <x v="2"/>
    <x v="1"/>
    <m/>
    <m/>
    <s v="Not Provided"/>
    <m/>
    <m/>
    <s v="Kilungu"/>
    <x v="27"/>
  </r>
  <r>
    <s v="Stephen Nzioka"/>
    <s v="Standard Digital "/>
    <d v="2021-07-28T00:00:00"/>
    <x v="0"/>
    <x v="181"/>
    <x v="0"/>
    <m/>
    <s v="Nzyuko Makau"/>
    <x v="1"/>
    <x v="0"/>
    <x v="2"/>
    <s v="hacked"/>
    <x v="1"/>
    <x v="3"/>
    <m/>
    <m/>
    <s v="Not Provided"/>
    <m/>
    <m/>
    <s v="Kibwezi east"/>
    <x v="27"/>
  </r>
  <r>
    <s v="Manase Otsialo"/>
    <s v="Daily Nation "/>
    <d v="2018-07-10T00:00:00"/>
    <x v="0"/>
    <x v="1"/>
    <x v="0"/>
    <m/>
    <s v="Feisal Ibrahim Yusuf"/>
    <x v="0"/>
    <x v="0"/>
    <x v="0"/>
    <s v="stabbed"/>
    <x v="1"/>
    <x v="2"/>
    <d v="2018-07-18T00:00:00"/>
    <m/>
    <s v="Not Provided"/>
    <m/>
    <m/>
    <s v="Mandera town"/>
    <x v="28"/>
  </r>
  <r>
    <s v="Stephen Astariko"/>
    <s v="The Star "/>
    <d v="2019-07-02T00:00:00"/>
    <x v="0"/>
    <x v="182"/>
    <x v="8"/>
    <m/>
    <s v="Abiweli Adan Noor"/>
    <x v="0"/>
    <x v="0"/>
    <x v="0"/>
    <s v="stabbed"/>
    <x v="1"/>
    <x v="1"/>
    <m/>
    <m/>
    <s v="Not Provided"/>
    <m/>
    <m/>
    <s v="Jamuhuri"/>
    <x v="28"/>
  </r>
  <r>
    <s v="Cyrus Ombati"/>
    <s v="The Star "/>
    <d v="2023-10-17T00:00:00"/>
    <x v="0"/>
    <x v="183"/>
    <x v="52"/>
    <m/>
    <s v="Not Provided"/>
    <x v="5"/>
    <x v="2"/>
    <x v="0"/>
    <s v="hacked"/>
    <x v="17"/>
    <x v="1"/>
    <m/>
    <m/>
    <s v="Not Provided"/>
    <m/>
    <m/>
    <s v="Sololo"/>
    <x v="29"/>
  </r>
  <r>
    <s v="Lydiah Nyawira"/>
    <s v="Standard Digital "/>
    <d v="2016-10-05T00:00:00"/>
    <x v="0"/>
    <x v="184"/>
    <x v="0"/>
    <d v="2005-05-12T00:00:00"/>
    <s v="Julius Koome"/>
    <x v="0"/>
    <x v="0"/>
    <x v="0"/>
    <s v="blunt force"/>
    <x v="1"/>
    <x v="0"/>
    <d v="2005-08-13T00:00:00"/>
    <d v="2016-06-24T00:00:00"/>
    <s v="guilty"/>
    <m/>
    <n v="4061"/>
    <s v="Gaintume village"/>
    <x v="30"/>
  </r>
  <r>
    <s v="Gerald Mutethia"/>
    <s v="The Star "/>
    <d v="2017-12-24T00:00:00"/>
    <x v="0"/>
    <x v="185"/>
    <x v="24"/>
    <m/>
    <s v="Francis Bundi (Deceased)"/>
    <x v="0"/>
    <x v="0"/>
    <x v="0"/>
    <s v="blunt force"/>
    <x v="1"/>
    <x v="0"/>
    <m/>
    <m/>
    <s v="Not Provided"/>
    <m/>
    <m/>
    <s v="Igembe South"/>
    <x v="30"/>
  </r>
  <r>
    <s v="Gerald Mutethia"/>
    <s v="The Star "/>
    <d v="2018-06-29T00:00:00"/>
    <x v="0"/>
    <x v="186"/>
    <x v="0"/>
    <m/>
    <s v="Not Provided"/>
    <x v="4"/>
    <x v="1"/>
    <x v="2"/>
    <s v="blunt force"/>
    <x v="6"/>
    <x v="1"/>
    <m/>
    <m/>
    <s v="Not Provided"/>
    <m/>
    <m/>
    <s v="Mitunguu vilage"/>
    <x v="30"/>
  </r>
  <r>
    <s v="Gerald Mutethia"/>
    <s v="The Star "/>
    <d v="2018-07-16T00:00:00"/>
    <x v="0"/>
    <x v="187"/>
    <x v="40"/>
    <m/>
    <s v="Paul Nteere"/>
    <x v="0"/>
    <x v="0"/>
    <x v="0"/>
    <s v="hacked"/>
    <x v="1"/>
    <x v="1"/>
    <m/>
    <m/>
    <s v="Not Provided"/>
    <m/>
    <m/>
    <s v="Gankere vilage"/>
    <x v="30"/>
  </r>
  <r>
    <s v="Not Provided"/>
    <s v="Daily Nation "/>
    <m/>
    <x v="0"/>
    <x v="188"/>
    <x v="30"/>
    <m/>
    <s v="Not Provided"/>
    <x v="0"/>
    <x v="1"/>
    <x v="1"/>
    <s v="Not Provided "/>
    <x v="0"/>
    <x v="0"/>
    <m/>
    <m/>
    <s v="Not Provided"/>
    <m/>
    <m/>
    <s v="Meru County"/>
    <x v="30"/>
  </r>
  <r>
    <s v="Not Provided"/>
    <s v="Citizen TV"/>
    <m/>
    <x v="0"/>
    <x v="189"/>
    <x v="0"/>
    <d v="2019-05-06T00:00:00"/>
    <s v="Not Provided"/>
    <x v="3"/>
    <x v="1"/>
    <x v="1"/>
    <s v="Not Provided "/>
    <x v="0"/>
    <x v="0"/>
    <m/>
    <m/>
    <s v="Not Provided"/>
    <m/>
    <m/>
    <s v="Meru County"/>
    <x v="30"/>
  </r>
  <r>
    <s v="Charles Wanyoro"/>
    <s v="Daily Nation "/>
    <d v="2019-06-20T00:00:00"/>
    <x v="0"/>
    <x v="1"/>
    <x v="47"/>
    <m/>
    <s v="Not Provided"/>
    <x v="4"/>
    <x v="2"/>
    <x v="2"/>
    <s v="Strangled"/>
    <x v="0"/>
    <x v="1"/>
    <m/>
    <m/>
    <s v="Not Provided"/>
    <m/>
    <m/>
    <s v="Imenti"/>
    <x v="30"/>
  </r>
  <r>
    <s v="Charles Wanyoro"/>
    <s v="Daily Nation "/>
    <d v="2019-09-15T00:00:00"/>
    <x v="0"/>
    <x v="190"/>
    <x v="1"/>
    <m/>
    <s v="Not Provided"/>
    <x v="4"/>
    <x v="2"/>
    <x v="2"/>
    <s v="stabbed"/>
    <x v="0"/>
    <x v="1"/>
    <m/>
    <m/>
    <s v="Not Provided"/>
    <m/>
    <m/>
    <s v="Gachanaka area"/>
    <x v="30"/>
  </r>
  <r>
    <s v="Carolyne Kubwa"/>
    <s v="The Star "/>
    <d v="2020-07-06T00:00:00"/>
    <x v="0"/>
    <x v="191"/>
    <x v="0"/>
    <m/>
    <s v="Jason Likura"/>
    <x v="5"/>
    <x v="2"/>
    <x v="0"/>
    <s v="blunt force"/>
    <x v="5"/>
    <x v="0"/>
    <m/>
    <d v="2020-06-30T00:00:00"/>
    <s v="guilty"/>
    <m/>
    <m/>
    <s v="Nkatha"/>
    <x v="30"/>
  </r>
  <r>
    <s v="Gerald Mutethia"/>
    <s v="The Star "/>
    <d v="2022-07-08T00:00:00"/>
    <x v="0"/>
    <x v="1"/>
    <x v="0"/>
    <m/>
    <s v="Patrick Mwirigi"/>
    <x v="0"/>
    <x v="0"/>
    <x v="0"/>
    <s v="hacked"/>
    <x v="1"/>
    <x v="1"/>
    <m/>
    <m/>
    <s v="Not Provided"/>
    <m/>
    <m/>
    <s v="Kibirichi area"/>
    <x v="30"/>
  </r>
  <r>
    <s v="David Muchui"/>
    <s v="Daily Nation "/>
    <d v="2023-01-19T00:00:00"/>
    <x v="0"/>
    <x v="192"/>
    <x v="21"/>
    <m/>
    <s v="Allan Kirimi"/>
    <x v="3"/>
    <x v="0"/>
    <x v="2"/>
    <s v="hacked"/>
    <x v="0"/>
    <x v="1"/>
    <m/>
    <m/>
    <s v="Not Provided"/>
    <m/>
    <m/>
    <s v="Rwerea hill on the outskirts of Mikinduri town"/>
    <x v="30"/>
  </r>
  <r>
    <s v="Cyrus Ombati"/>
    <s v="The Star "/>
    <d v="2023-03-26T00:00:00"/>
    <x v="0"/>
    <x v="1"/>
    <x v="0"/>
    <m/>
    <s v="Pst. BM"/>
    <x v="0"/>
    <x v="0"/>
    <x v="0"/>
    <s v="stabbed"/>
    <x v="1"/>
    <x v="1"/>
    <m/>
    <m/>
    <s v="Not Provided"/>
    <m/>
    <m/>
    <s v="Imenti south"/>
    <x v="30"/>
  </r>
  <r>
    <s v=" Gitonga Marete"/>
    <s v="Daily Nation "/>
    <d v="2023-03-30T00:00:00"/>
    <x v="0"/>
    <x v="193"/>
    <x v="51"/>
    <m/>
    <s v="Boniface Mutuma"/>
    <x v="0"/>
    <x v="0"/>
    <x v="0"/>
    <s v="stabbed"/>
    <x v="0"/>
    <x v="1"/>
    <m/>
    <m/>
    <s v="Not Provided"/>
    <m/>
    <m/>
    <s v="Mitunguu market"/>
    <x v="30"/>
  </r>
  <r>
    <s v=" Gitonga Marete"/>
    <s v="Daily Nation "/>
    <d v="2023-09-28T00:00:00"/>
    <x v="0"/>
    <x v="194"/>
    <x v="29"/>
    <m/>
    <s v="Jackson Mworia Rukunga _x000a_"/>
    <x v="0"/>
    <x v="0"/>
    <x v="0"/>
    <s v="blunt force"/>
    <x v="17"/>
    <x v="1"/>
    <m/>
    <m/>
    <s v="Not Provided"/>
    <m/>
    <m/>
    <s v="Igoki village"/>
    <x v="30"/>
  </r>
  <r>
    <s v="Faith Nyasuguta"/>
    <s v="The Star "/>
    <d v="2020-04-17T00:00:00"/>
    <x v="0"/>
    <x v="195"/>
    <x v="0"/>
    <m/>
    <s v="Enock Akoko"/>
    <x v="3"/>
    <x v="0"/>
    <x v="2"/>
    <s v="stabbed"/>
    <x v="0"/>
    <x v="0"/>
    <m/>
    <d v="2020-04-17T00:00:00"/>
    <s v="guilty"/>
    <n v="25"/>
    <n v="2037"/>
    <s v="Highway CompleNot Provided Lodge"/>
    <x v="31"/>
  </r>
  <r>
    <s v="Vivere Nandiemo"/>
    <s v="Daily Nation "/>
    <d v="2018-09-21T00:00:00"/>
    <x v="0"/>
    <x v="196"/>
    <x v="0"/>
    <m/>
    <s v="Pintu Boroi Mwita"/>
    <x v="0"/>
    <x v="0"/>
    <x v="0"/>
    <s v="stabbed"/>
    <x v="2"/>
    <x v="1"/>
    <m/>
    <m/>
    <s v="Not Provided"/>
    <m/>
    <m/>
    <s v="Biasumu village"/>
    <x v="31"/>
  </r>
  <r>
    <s v="Manuel Odeny"/>
    <s v="The Star "/>
    <d v="2019-02-24T00:00:00"/>
    <x v="0"/>
    <x v="197"/>
    <x v="8"/>
    <m/>
    <s v="Lucas Kuria"/>
    <x v="0"/>
    <x v="0"/>
    <x v="0"/>
    <s v="blunt force"/>
    <x v="1"/>
    <x v="1"/>
    <m/>
    <m/>
    <s v="Not Provided"/>
    <m/>
    <m/>
    <s v="Oruba Estate"/>
    <x v="31"/>
  </r>
  <r>
    <s v="Caleb Kingwara"/>
    <s v="Standard Digital "/>
    <d v="2022-01-10T00:00:00"/>
    <x v="0"/>
    <x v="162"/>
    <x v="20"/>
    <m/>
    <s v="Samuel Guya"/>
    <x v="0"/>
    <x v="0"/>
    <x v="0"/>
    <s v="Not Provided "/>
    <x v="1"/>
    <x v="3"/>
    <m/>
    <m/>
    <s v="Not Provided"/>
    <m/>
    <m/>
    <s v="Arundo village"/>
    <x v="31"/>
  </r>
  <r>
    <s v="Anne Atieno"/>
    <s v="Standard Digital "/>
    <d v="2022-02-20T00:00:00"/>
    <x v="0"/>
    <x v="198"/>
    <x v="2"/>
    <m/>
    <s v="Const, Anthony Njuguna"/>
    <x v="0"/>
    <x v="0"/>
    <x v="0"/>
    <s v="shot"/>
    <x v="1"/>
    <x v="3"/>
    <m/>
    <m/>
    <s v="Not Provided"/>
    <m/>
    <m/>
    <s v="Suna East"/>
    <x v="31"/>
  </r>
  <r>
    <s v=" Lucy Njogu"/>
    <s v=" K24 Digital"/>
    <d v="2023-06-28T00:00:00"/>
    <x v="0"/>
    <x v="199"/>
    <x v="3"/>
    <m/>
    <s v="Unknown assailant"/>
    <x v="4"/>
    <x v="1"/>
    <x v="2"/>
    <s v="sexual assault"/>
    <x v="0"/>
    <x v="0"/>
    <m/>
    <m/>
    <s v="Not Provided"/>
    <m/>
    <m/>
    <s v="Awendo town-Siruti road"/>
    <x v="31"/>
  </r>
  <r>
    <s v="Malemba Mkongo"/>
    <s v="The Star "/>
    <d v="2017-03-26T00:00:00"/>
    <x v="0"/>
    <x v="200"/>
    <x v="5"/>
    <m/>
    <s v="Not Provided"/>
    <x v="4"/>
    <x v="0"/>
    <x v="2"/>
    <s v="stabbed"/>
    <x v="0"/>
    <x v="1"/>
    <m/>
    <m/>
    <s v="Not Provided"/>
    <m/>
    <m/>
    <s v="Casablanca Night club"/>
    <x v="32"/>
  </r>
  <r>
    <s v="Not Provided"/>
    <s v="Standard Media"/>
    <m/>
    <x v="0"/>
    <x v="201"/>
    <x v="5"/>
    <m/>
    <s v="Not Provided"/>
    <x v="3"/>
    <x v="1"/>
    <x v="1"/>
    <s v="Not Provided "/>
    <x v="0"/>
    <x v="0"/>
    <m/>
    <m/>
    <s v="Not Provided"/>
    <m/>
    <m/>
    <s v="Mombasa County"/>
    <x v="32"/>
  </r>
  <r>
    <s v="Not Provided"/>
    <s v="Mpasho"/>
    <m/>
    <x v="0"/>
    <x v="202"/>
    <x v="8"/>
    <m/>
    <s v="Not Provided"/>
    <x v="0"/>
    <x v="1"/>
    <x v="1"/>
    <s v="Not Provided "/>
    <x v="0"/>
    <x v="0"/>
    <m/>
    <m/>
    <s v="Not Provided"/>
    <m/>
    <m/>
    <s v="Mombasa County"/>
    <x v="32"/>
  </r>
  <r>
    <s v=" Hillary Makokha"/>
    <s v="The Star "/>
    <d v="2020-01-05T00:00:00"/>
    <x v="0"/>
    <x v="203"/>
    <x v="0"/>
    <m/>
    <s v="Elisha Misiko"/>
    <x v="0"/>
    <x v="0"/>
    <x v="2"/>
    <s v="stabbed"/>
    <x v="0"/>
    <x v="0"/>
    <m/>
    <m/>
    <s v="Not Provided"/>
    <m/>
    <m/>
    <s v="Chembani in Bamburi"/>
    <x v="32"/>
  </r>
  <r>
    <s v="Patrick Beja And Willis Oketch"/>
    <s v="Standard digital"/>
    <d v="2020-01-21T00:00:00"/>
    <x v="0"/>
    <x v="204"/>
    <x v="0"/>
    <m/>
    <s v="Peter Mukundi"/>
    <x v="0"/>
    <x v="0"/>
    <x v="0"/>
    <s v="stabbed"/>
    <x v="0"/>
    <x v="0"/>
    <m/>
    <m/>
    <s v="Not Provided"/>
    <m/>
    <m/>
    <s v="Mbuyuni village in Likoni"/>
    <x v="32"/>
  </r>
  <r>
    <s v="Francis Mtalaki"/>
    <s v="Citizen Digital"/>
    <d v="2022-12-16T00:00:00"/>
    <x v="0"/>
    <x v="205"/>
    <x v="40"/>
    <m/>
    <s v="Meshack Kosgei"/>
    <x v="0"/>
    <x v="0"/>
    <x v="0"/>
    <s v="shot"/>
    <x v="1"/>
    <x v="2"/>
    <d v="2022-12-19T00:00:00"/>
    <m/>
    <s v="Not Provided"/>
    <m/>
    <m/>
    <s v="Not Provided"/>
    <x v="32"/>
  </r>
  <r>
    <s v=" Brian Ocharo"/>
    <s v="Daily Nation "/>
    <d v="2023-01-13T00:00:00"/>
    <x v="0"/>
    <x v="206"/>
    <x v="0"/>
    <m/>
    <s v="Henry Thuku Kwira"/>
    <x v="0"/>
    <x v="0"/>
    <x v="0"/>
    <s v="blunt force"/>
    <x v="1"/>
    <x v="1"/>
    <m/>
    <m/>
    <s v="Not Provided"/>
    <m/>
    <m/>
    <s v="Mtongwe"/>
    <x v="32"/>
  </r>
  <r>
    <s v=" Hilary Kimuyu"/>
    <s v="Nairobi News"/>
    <d v="2023-02-03T00:00:00"/>
    <x v="0"/>
    <x v="1"/>
    <x v="24"/>
    <m/>
    <s v="Not Provided"/>
    <x v="4"/>
    <x v="2"/>
    <x v="2"/>
    <s v="Strangled"/>
    <x v="26"/>
    <x v="1"/>
    <m/>
    <m/>
    <s v="Not Provided"/>
    <m/>
    <m/>
    <s v="Bombolulu"/>
    <x v="32"/>
  </r>
  <r>
    <s v=" Brian Ocharo"/>
    <s v="Daily Nation "/>
    <d v="2023-04-04T00:00:00"/>
    <x v="0"/>
    <x v="207"/>
    <x v="0"/>
    <m/>
    <s v="Evans Kuti "/>
    <x v="0"/>
    <x v="0"/>
    <x v="0"/>
    <s v="stabbed"/>
    <x v="1"/>
    <x v="7"/>
    <m/>
    <m/>
    <s v="Not Provided"/>
    <m/>
    <m/>
    <s v="Chaani"/>
    <x v="32"/>
  </r>
  <r>
    <s v="Boniface Gikandi"/>
    <s v="Standard Digital "/>
    <d v="2018-05-30T00:00:00"/>
    <x v="0"/>
    <x v="1"/>
    <x v="0"/>
    <m/>
    <s v="Simon Muraya"/>
    <x v="0"/>
    <x v="0"/>
    <x v="1"/>
    <s v="Not Provided "/>
    <x v="0"/>
    <x v="1"/>
    <m/>
    <m/>
    <s v="Not Provided"/>
    <m/>
    <m/>
    <s v="Not Provided"/>
    <x v="33"/>
  </r>
  <r>
    <s v="Alice Waithera"/>
    <s v="The Star "/>
    <d v="2016-10-03T00:00:00"/>
    <x v="0"/>
    <x v="208"/>
    <x v="27"/>
    <m/>
    <s v="Not Provided"/>
    <x v="4"/>
    <x v="2"/>
    <x v="4"/>
    <s v="sexual assault"/>
    <x v="0"/>
    <x v="0"/>
    <m/>
    <m/>
    <s v="Not Provided"/>
    <m/>
    <m/>
    <s v="Karuku"/>
    <x v="33"/>
  </r>
  <r>
    <s v="Boniface Gikandi"/>
    <s v="Standard Digital "/>
    <d v="2016-10-26T00:00:00"/>
    <x v="0"/>
    <x v="209"/>
    <x v="13"/>
    <m/>
    <s v="Bernard Kiiru (deceased)"/>
    <x v="0"/>
    <x v="0"/>
    <x v="0"/>
    <s v="hacked"/>
    <x v="15"/>
    <x v="1"/>
    <m/>
    <m/>
    <s v="Not Provided"/>
    <m/>
    <m/>
    <s v="Mowlem village"/>
    <x v="33"/>
  </r>
  <r>
    <s v="John Kamau"/>
    <s v="The Star "/>
    <d v="2017-02-28T00:00:00"/>
    <x v="0"/>
    <x v="210"/>
    <x v="18"/>
    <m/>
    <s v="Not Provided"/>
    <x v="4"/>
    <x v="2"/>
    <x v="0"/>
    <s v="blunt force"/>
    <x v="27"/>
    <x v="1"/>
    <d v="2017-03-02T00:00:00"/>
    <m/>
    <s v="Not Provided"/>
    <m/>
    <m/>
    <s v="Maki Estate"/>
    <x v="33"/>
  </r>
  <r>
    <s v="Allan Mungai"/>
    <s v="Standard digital"/>
    <d v="2017-03-28T00:00:00"/>
    <x v="0"/>
    <x v="211"/>
    <x v="31"/>
    <m/>
    <s v="Julia Nyambura"/>
    <x v="6"/>
    <x v="2"/>
    <x v="0"/>
    <s v="blunt force"/>
    <x v="2"/>
    <x v="1"/>
    <m/>
    <m/>
    <s v="Not Provided"/>
    <m/>
    <m/>
    <s v="Kagumo-ini village"/>
    <x v="33"/>
  </r>
  <r>
    <s v="Alice Waithera"/>
    <s v="The Star "/>
    <d v="2017-03-30T00:00:00"/>
    <x v="0"/>
    <x v="212"/>
    <x v="7"/>
    <m/>
    <s v="two students a boy and a girl"/>
    <x v="6"/>
    <x v="2"/>
    <x v="2"/>
    <s v="blunt force"/>
    <x v="0"/>
    <x v="1"/>
    <m/>
    <m/>
    <s v="Not Provided"/>
    <m/>
    <m/>
    <s v="Mathioya"/>
    <x v="33"/>
  </r>
  <r>
    <s v="Boniface Gikandi"/>
    <s v="Standard Digital "/>
    <d v="2017-04-24T00:00:00"/>
    <x v="0"/>
    <x v="213"/>
    <x v="10"/>
    <m/>
    <s v="Not Provided"/>
    <x v="0"/>
    <x v="0"/>
    <x v="0"/>
    <s v="stabbed"/>
    <x v="2"/>
    <x v="1"/>
    <m/>
    <m/>
    <s v="Not Provided"/>
    <m/>
    <m/>
    <s v="Kaweru village"/>
    <x v="33"/>
  </r>
  <r>
    <s v="Alice Waithera"/>
    <s v="The Star "/>
    <d v="2018-02-05T00:00:00"/>
    <x v="0"/>
    <x v="214"/>
    <x v="0"/>
    <m/>
    <s v="Simon Ekare"/>
    <x v="0"/>
    <x v="0"/>
    <x v="0"/>
    <s v="blunt force"/>
    <x v="2"/>
    <x v="1"/>
    <m/>
    <m/>
    <s v="Not Provided"/>
    <m/>
    <m/>
    <s v="Kanderendu village"/>
    <x v="33"/>
  </r>
  <r>
    <s v="Alice Waithera"/>
    <s v="The Star "/>
    <d v="2018-04-04T00:00:00"/>
    <x v="0"/>
    <x v="215"/>
    <x v="0"/>
    <m/>
    <s v="Stephen Mwangi"/>
    <x v="0"/>
    <x v="0"/>
    <x v="4"/>
    <s v="Not Provided "/>
    <x v="2"/>
    <x v="0"/>
    <m/>
    <d v="2018-04-04T00:00:00"/>
    <s v="guilty"/>
    <n v="2"/>
    <n v="0"/>
    <s v="Not Provided"/>
    <x v="33"/>
  </r>
  <r>
    <s v="Boniface Gikandi"/>
    <s v="Standard Digital "/>
    <d v="2018-04-10T00:00:00"/>
    <x v="0"/>
    <x v="1"/>
    <x v="46"/>
    <m/>
    <s v="Duncan Wakaihiu"/>
    <x v="4"/>
    <x v="1"/>
    <x v="0"/>
    <s v="Strangled"/>
    <x v="0"/>
    <x v="1"/>
    <m/>
    <m/>
    <s v="Not Provided"/>
    <m/>
    <m/>
    <s v="Gathumbi village"/>
    <x v="33"/>
  </r>
  <r>
    <s v="Ndungu Gachane"/>
    <s v="Daily Nation "/>
    <d v="2018-06-18T00:00:00"/>
    <x v="0"/>
    <x v="216"/>
    <x v="34"/>
    <m/>
    <s v="Not Provided"/>
    <x v="4"/>
    <x v="1"/>
    <x v="2"/>
    <s v="Strangled"/>
    <x v="6"/>
    <x v="1"/>
    <m/>
    <m/>
    <s v="Not Provided"/>
    <m/>
    <m/>
    <s v="Maragua Ridge"/>
    <x v="33"/>
  </r>
  <r>
    <s v="Boniface Gikandi"/>
    <s v="Standard Digital "/>
    <d v="2018-10-18T00:00:00"/>
    <x v="0"/>
    <x v="217"/>
    <x v="24"/>
    <m/>
    <s v="Not Provided"/>
    <x v="3"/>
    <x v="0"/>
    <x v="0"/>
    <s v="blunt force"/>
    <x v="0"/>
    <x v="1"/>
    <m/>
    <m/>
    <s v="Not Provided"/>
    <m/>
    <m/>
    <s v="Kamuiru village"/>
    <x v="33"/>
  </r>
  <r>
    <s v="Alice Waithera"/>
    <s v="The Star "/>
    <d v="2019-01-29T00:00:00"/>
    <x v="0"/>
    <x v="218"/>
    <x v="15"/>
    <m/>
    <s v="Not Provided"/>
    <x v="5"/>
    <x v="2"/>
    <x v="2"/>
    <s v="other"/>
    <x v="0"/>
    <x v="1"/>
    <m/>
    <m/>
    <s v="Not Provided"/>
    <m/>
    <m/>
    <s v="Kihumbu-ini village"/>
    <x v="33"/>
  </r>
  <r>
    <s v="Not Provided"/>
    <s v="Daily Nation "/>
    <m/>
    <x v="0"/>
    <x v="219"/>
    <x v="53"/>
    <m/>
    <s v="Not Provided"/>
    <x v="5"/>
    <x v="1"/>
    <x v="1"/>
    <s v="Not Provided "/>
    <x v="0"/>
    <x v="0"/>
    <m/>
    <m/>
    <s v="Not Provided"/>
    <m/>
    <m/>
    <s v="Muranga County"/>
    <x v="33"/>
  </r>
  <r>
    <s v="Boniface Gikandi"/>
    <s v="Standard Digital "/>
    <d v="2021-11-23T00:00:00"/>
    <x v="0"/>
    <x v="220"/>
    <x v="2"/>
    <m/>
    <s v="Patrick Chege"/>
    <x v="3"/>
    <x v="0"/>
    <x v="2"/>
    <s v="stabbed"/>
    <x v="2"/>
    <x v="1"/>
    <m/>
    <m/>
    <s v="Not Provided"/>
    <m/>
    <m/>
    <s v="Liquid Cash Bar"/>
    <x v="33"/>
  </r>
  <r>
    <s v="Kna"/>
    <s v="The Star "/>
    <d v="2022-10-05T00:00:00"/>
    <x v="0"/>
    <x v="221"/>
    <x v="54"/>
    <m/>
    <s v="Not Provided"/>
    <x v="4"/>
    <x v="2"/>
    <x v="2"/>
    <s v="stabbed"/>
    <x v="0"/>
    <x v="1"/>
    <m/>
    <m/>
    <s v="Not Provided"/>
    <m/>
    <m/>
    <s v="Kiandugira village"/>
    <x v="33"/>
  </r>
  <r>
    <s v="Alice Waithera"/>
    <s v="The Star "/>
    <d v="2023-05-11T00:00:00"/>
    <x v="0"/>
    <x v="222"/>
    <x v="17"/>
    <d v="2023-05-11T00:00:00"/>
    <s v="Elijah Muthie Njanja"/>
    <x v="3"/>
    <x v="0"/>
    <x v="0"/>
    <s v="stabbed"/>
    <x v="17"/>
    <x v="1"/>
    <m/>
    <m/>
    <s v="Not Provided"/>
    <m/>
    <m/>
    <s v="Mukuyu"/>
    <x v="33"/>
  </r>
  <r>
    <s v="Not Provided"/>
    <s v="Nation"/>
    <d v="2023-08-23T00:00:00"/>
    <x v="0"/>
    <x v="223"/>
    <x v="0"/>
    <m/>
    <s v="Not Provided"/>
    <x v="0"/>
    <x v="0"/>
    <x v="0"/>
    <s v="blunt force"/>
    <x v="28"/>
    <x v="1"/>
    <m/>
    <m/>
    <s v="Not Provided"/>
    <m/>
    <m/>
    <s v="Mathare estate"/>
    <x v="33"/>
  </r>
  <r>
    <s v="Mwangi Muiruri"/>
    <s v="Daily Nation "/>
    <d v="2023-11-26T00:00:00"/>
    <x v="0"/>
    <x v="224"/>
    <x v="48"/>
    <m/>
    <s v="Patrick Irungu"/>
    <x v="5"/>
    <x v="2"/>
    <x v="0"/>
    <s v="hacked"/>
    <x v="29"/>
    <x v="8"/>
    <m/>
    <m/>
    <s v="Not Provided"/>
    <m/>
    <m/>
    <s v="Gaturo village"/>
    <x v="33"/>
  </r>
  <r>
    <s v="Carolyne Kubwa"/>
    <s v="The Star "/>
    <d v="2020-12-01T00:00:00"/>
    <x v="0"/>
    <x v="225"/>
    <x v="3"/>
    <m/>
    <s v="Abdi Mohammed Siyat, Najma Ali Mohammed"/>
    <x v="4"/>
    <x v="1"/>
    <x v="1"/>
    <s v="Not Provided "/>
    <x v="0"/>
    <x v="1"/>
    <m/>
    <m/>
    <s v="Not Provided"/>
    <m/>
    <m/>
    <s v="Eastleigh"/>
    <x v="34"/>
  </r>
  <r>
    <s v="Kamau Muthoni"/>
    <s v="Standard Digital "/>
    <d v="2017-05-25T00:00:00"/>
    <x v="0"/>
    <x v="226"/>
    <x v="0"/>
    <d v="2011-05-01T00:00:00"/>
    <s v="Moses Dola Otieno"/>
    <x v="0"/>
    <x v="0"/>
    <x v="0"/>
    <s v="blunt force"/>
    <x v="1"/>
    <x v="0"/>
    <m/>
    <d v="2018-10-05T00:00:00"/>
    <s v="guilty"/>
    <n v="10"/>
    <n v="2714"/>
    <s v="Umoja estate"/>
    <x v="34"/>
  </r>
  <r>
    <s v="Elisha Otieno"/>
    <s v="Daily Nation "/>
    <d v="2016-10-07T00:00:00"/>
    <x v="0"/>
    <x v="227"/>
    <x v="0"/>
    <m/>
    <s v="William Kabogo"/>
    <x v="4"/>
    <x v="1"/>
    <x v="2"/>
    <s v="Not Provided "/>
    <x v="0"/>
    <x v="0"/>
    <m/>
    <d v="2016-10-07T00:00:00"/>
    <s v="Not Guilty"/>
    <m/>
    <n v="1939"/>
    <s v="Waiyaki way"/>
    <x v="34"/>
  </r>
  <r>
    <s v="Benson Matheka"/>
    <s v="Daily Nation "/>
    <d v="2018-05-22T00:00:00"/>
    <x v="0"/>
    <x v="228"/>
    <x v="0"/>
    <m/>
    <s v="Louis Otieno"/>
    <x v="3"/>
    <x v="0"/>
    <x v="0"/>
    <s v="Strangled"/>
    <x v="0"/>
    <x v="1"/>
    <m/>
    <m/>
    <s v="Not Provided"/>
    <m/>
    <m/>
    <s v="Santonia court"/>
    <x v="34"/>
  </r>
  <r>
    <s v="Richard Munguti"/>
    <s v="Daily Nation "/>
    <d v="2018-11-30T00:00:00"/>
    <x v="0"/>
    <x v="229"/>
    <x v="39"/>
    <m/>
    <s v="Jame Mulu Mulewa"/>
    <x v="3"/>
    <x v="0"/>
    <x v="0"/>
    <s v="stabbed"/>
    <x v="30"/>
    <x v="0"/>
    <d v="2012-03-08T00:00:00"/>
    <d v="2018-11-30T00:00:00"/>
    <s v="guilty"/>
    <m/>
    <n v="2468"/>
    <s v="Mathare North"/>
    <x v="34"/>
  </r>
  <r>
    <s v="Annette Wambulwa "/>
    <s v="The Star "/>
    <d v="2020-08-11T00:00:00"/>
    <x v="0"/>
    <x v="230"/>
    <x v="0"/>
    <m/>
    <s v="Pst. Paul Ng'ang'a"/>
    <x v="3"/>
    <x v="0"/>
    <x v="2"/>
    <s v="stabbed"/>
    <x v="1"/>
    <x v="0"/>
    <m/>
    <d v="2020-08-11T00:00:00"/>
    <s v="guilty"/>
    <m/>
    <n v="3077"/>
    <s v="kawangware"/>
    <x v="34"/>
  </r>
  <r>
    <s v="Nation Reporter"/>
    <s v="Daily Nation "/>
    <d v="2020-06-29T00:00:00"/>
    <x v="0"/>
    <x v="231"/>
    <x v="29"/>
    <m/>
    <s v="Constable Julius Otieno Kimore"/>
    <x v="0"/>
    <x v="0"/>
    <x v="0"/>
    <s v="shot"/>
    <x v="17"/>
    <x v="5"/>
    <m/>
    <m/>
    <s v="Not Provided"/>
    <m/>
    <m/>
    <s v="Kamiti Corner in Kasarani"/>
    <x v="34"/>
  </r>
  <r>
    <s v="Star Reporter"/>
    <s v="The Star "/>
    <d v="2017-06-08T00:00:00"/>
    <x v="0"/>
    <x v="232"/>
    <x v="13"/>
    <m/>
    <s v="Carl Singleton"/>
    <x v="3"/>
    <x v="0"/>
    <x v="0"/>
    <s v="other"/>
    <x v="0"/>
    <x v="0"/>
    <m/>
    <m/>
    <s v="Not Provided"/>
    <m/>
    <m/>
    <s v="Gigiri"/>
    <x v="34"/>
  </r>
  <r>
    <s v="Lilian Musili"/>
    <s v="Standard digital"/>
    <d v="2018-07-27T00:00:00"/>
    <x v="0"/>
    <x v="233"/>
    <x v="0"/>
    <m/>
    <s v="Erustus Ngura Odhiambo"/>
    <x v="3"/>
    <x v="0"/>
    <x v="2"/>
    <s v="shot"/>
    <x v="1"/>
    <x v="4"/>
    <d v="2014-12-12T00:00:00"/>
    <d v="2018-07-12T00:00:00"/>
    <s v="guilty"/>
    <n v="20"/>
    <n v="1309"/>
    <s v="Buruburu Phase 5"/>
    <x v="34"/>
  </r>
  <r>
    <s v="Gordon Osen"/>
    <s v="The Star "/>
    <d v="2023-06-01T00:00:00"/>
    <x v="0"/>
    <x v="234"/>
    <x v="0"/>
    <m/>
    <s v="POO"/>
    <x v="0"/>
    <x v="0"/>
    <x v="0"/>
    <s v="Strangled"/>
    <x v="2"/>
    <x v="1"/>
    <m/>
    <d v="2023-06-01T00:00:00"/>
    <s v="guilty"/>
    <n v="20"/>
    <n v="2914"/>
    <s v="Buruburu Phase 5"/>
    <x v="34"/>
  </r>
  <r>
    <s v=" Pkemoi Ng'Enoh"/>
    <s v="Standard Digital "/>
    <d v="2016-01-01T00:00:00"/>
    <x v="0"/>
    <x v="235"/>
    <x v="1"/>
    <m/>
    <s v="Martin Kunguru"/>
    <x v="3"/>
    <x v="0"/>
    <x v="0"/>
    <s v="stabbed"/>
    <x v="2"/>
    <x v="0"/>
    <d v="2016-01-07T00:00:00"/>
    <d v="2020-09-24T00:00:00"/>
    <s v="guilty"/>
    <n v="10"/>
    <n v="1738"/>
    <s v="Nyayo Estate, Embakasi"/>
    <x v="34"/>
  </r>
  <r>
    <s v="Hilary Kimuyu"/>
    <s v="Nairobi News"/>
    <d v="2016-02-16T00:00:00"/>
    <x v="0"/>
    <x v="236"/>
    <x v="39"/>
    <m/>
    <s v="Job Abuga"/>
    <x v="3"/>
    <x v="0"/>
    <x v="0"/>
    <s v="blunt force"/>
    <x v="0"/>
    <x v="2"/>
    <d v="2016-02-16T00:00:00"/>
    <m/>
    <s v="Not Provided"/>
    <m/>
    <m/>
    <s v="Umoja III estate"/>
    <x v="34"/>
  </r>
  <r>
    <s v=" Nairobian Reporter "/>
    <s v="Standard Digital "/>
    <d v="2016-03-05T00:00:00"/>
    <x v="0"/>
    <x v="237"/>
    <x v="32"/>
    <m/>
    <s v="Anthony Kiplagat"/>
    <x v="3"/>
    <x v="0"/>
    <x v="0"/>
    <s v="hacked"/>
    <x v="0"/>
    <x v="0"/>
    <m/>
    <m/>
    <s v="Not Provided"/>
    <m/>
    <m/>
    <s v="Muthaiga estate"/>
    <x v="34"/>
  </r>
  <r>
    <s v="Nancy Agutu"/>
    <s v="The Star "/>
    <d v="2016-11-22T00:00:00"/>
    <x v="0"/>
    <x v="238"/>
    <x v="55"/>
    <m/>
    <s v="Richard Alden"/>
    <x v="3"/>
    <x v="0"/>
    <x v="0"/>
    <s v="shot"/>
    <x v="0"/>
    <x v="2"/>
    <d v="2017-01-30T00:00:00"/>
    <m/>
    <s v="Not Provided"/>
    <m/>
    <m/>
    <s v="Windy Ridge Road"/>
    <x v="34"/>
  </r>
  <r>
    <s v="Mary Wambui"/>
    <s v="Nairobi News"/>
    <d v="2016-07-25T00:00:00"/>
    <x v="0"/>
    <x v="239"/>
    <x v="13"/>
    <m/>
    <s v="Maxwell Okoth"/>
    <x v="3"/>
    <x v="0"/>
    <x v="0"/>
    <s v="stabbed"/>
    <x v="0"/>
    <x v="0"/>
    <m/>
    <m/>
    <s v="Not Provided"/>
    <m/>
    <m/>
    <s v="Kahawa Wendani"/>
    <x v="34"/>
  </r>
  <r>
    <s v="Star Reporter"/>
    <s v="The Star "/>
    <d v="2016-11-10T00:00:00"/>
    <x v="0"/>
    <x v="240"/>
    <x v="50"/>
    <m/>
    <s v="Geoffrey Shitero"/>
    <x v="0"/>
    <x v="0"/>
    <x v="0"/>
    <s v="stabbed"/>
    <x v="1"/>
    <x v="1"/>
    <m/>
    <m/>
    <s v="Not Provided"/>
    <m/>
    <m/>
    <s v="Kibera slums"/>
    <x v="34"/>
  </r>
  <r>
    <s v="Kamau Maichuhie "/>
    <s v="Standard Digital "/>
    <d v="2016-11-22T00:00:00"/>
    <x v="0"/>
    <x v="241"/>
    <x v="24"/>
    <m/>
    <s v="George Njenga Chege"/>
    <x v="0"/>
    <x v="0"/>
    <x v="0"/>
    <s v="stabbed"/>
    <x v="0"/>
    <x v="0"/>
    <m/>
    <m/>
    <s v="Not Provided"/>
    <m/>
    <m/>
    <s v="Kiganjo Estate in Thika."/>
    <x v="34"/>
  </r>
  <r>
    <s v="Cyrus Ombati"/>
    <s v="Standard digital"/>
    <d v="2020-07-30T00:00:00"/>
    <x v="0"/>
    <x v="242"/>
    <x v="13"/>
    <m/>
    <s v="Charles Kibe"/>
    <x v="5"/>
    <x v="2"/>
    <x v="0"/>
    <s v="Not Provided "/>
    <x v="0"/>
    <x v="0"/>
    <m/>
    <d v="2017-07-27T00:00:00"/>
    <s v="guilty"/>
    <m/>
    <n v="183"/>
    <s v="Kahawa Sukari"/>
    <x v="34"/>
  </r>
  <r>
    <s v="Alphonce Mung"/>
    <s v="The Star "/>
    <d v="2017-06-08T00:00:00"/>
    <x v="0"/>
    <x v="243"/>
    <x v="0"/>
    <d v="2017-05-14T00:00:00"/>
    <s v="Patrick Odhiambo, Celeb Muyonga, and Brian Agunjo."/>
    <x v="0"/>
    <x v="0"/>
    <x v="0"/>
    <s v="blunt force"/>
    <x v="0"/>
    <x v="2"/>
    <d v="2017-06-21T00:00:00"/>
    <m/>
    <s v="Not Provided"/>
    <m/>
    <m/>
    <s v="Ngara"/>
    <x v="34"/>
  </r>
  <r>
    <s v="Wainaina Wambu"/>
    <s v="Standard Digital "/>
    <d v="2017-05-18T00:00:00"/>
    <x v="0"/>
    <x v="244"/>
    <x v="14"/>
    <d v="2017-05-18T00:00:00"/>
    <s v="Patrick Odundo"/>
    <x v="0"/>
    <x v="0"/>
    <x v="0"/>
    <s v="stabbed"/>
    <x v="1"/>
    <x v="1"/>
    <m/>
    <m/>
    <s v="Not Provided"/>
    <m/>
    <m/>
    <s v="Ruaraka Laundry slums"/>
    <x v="34"/>
  </r>
  <r>
    <s v="George Mugo"/>
    <s v="The Star "/>
    <d v="2017-06-04T00:00:00"/>
    <x v="0"/>
    <x v="245"/>
    <x v="40"/>
    <m/>
    <s v="Erastus Kabage Mwangi"/>
    <x v="0"/>
    <x v="0"/>
    <x v="0"/>
    <s v="Not Provided "/>
    <x v="1"/>
    <x v="3"/>
    <m/>
    <m/>
    <s v="Not Provided"/>
    <m/>
    <m/>
    <s v="Muthure village"/>
    <x v="34"/>
  </r>
  <r>
    <s v="Star Reporter"/>
    <s v="The Star "/>
    <d v="2017-06-04T00:00:00"/>
    <x v="0"/>
    <x v="1"/>
    <x v="0"/>
    <m/>
    <s v="Not Provided"/>
    <x v="0"/>
    <x v="0"/>
    <x v="0"/>
    <s v="burned"/>
    <x v="2"/>
    <x v="1"/>
    <m/>
    <m/>
    <s v="Not Provided"/>
    <m/>
    <m/>
    <s v="Umoja estate"/>
    <x v="34"/>
  </r>
  <r>
    <s v="Geoffery Mosoku"/>
    <s v="Standard digital"/>
    <d v="2017-08-21T00:00:00"/>
    <x v="0"/>
    <x v="246"/>
    <x v="12"/>
    <m/>
    <s v="Richard Nyakina"/>
    <x v="3"/>
    <x v="0"/>
    <x v="2"/>
    <s v="Strangled"/>
    <x v="2"/>
    <x v="1"/>
    <d v="2017-08-20T00:00:00"/>
    <m/>
    <s v="Not Provided"/>
    <m/>
    <m/>
    <s v="Ngong forest"/>
    <x v="34"/>
  </r>
  <r>
    <s v="Cyrus Ombati"/>
    <s v="Standard Digital "/>
    <d v="2017-09-18T00:00:00"/>
    <x v="0"/>
    <x v="247"/>
    <x v="0"/>
    <m/>
    <s v="Not Provided"/>
    <x v="3"/>
    <x v="0"/>
    <x v="2"/>
    <s v="shot"/>
    <x v="5"/>
    <x v="0"/>
    <m/>
    <m/>
    <s v="Not Provided"/>
    <m/>
    <m/>
    <s v="Tom Mboya Street"/>
    <x v="34"/>
  </r>
  <r>
    <s v="Cyrus Ombati"/>
    <s v="Standard digital"/>
    <d v="2017-09-17T00:00:00"/>
    <x v="0"/>
    <x v="248"/>
    <x v="14"/>
    <m/>
    <s v="Samuel Njoroge"/>
    <x v="3"/>
    <x v="0"/>
    <x v="2"/>
    <s v="shot"/>
    <x v="1"/>
    <x v="1"/>
    <m/>
    <m/>
    <s v="Not Provided"/>
    <m/>
    <m/>
    <s v="Tom Mboya Street"/>
    <x v="34"/>
  </r>
  <r>
    <s v="Cyrus Ombati"/>
    <s v="Standard digital"/>
    <d v="2017-10-24T00:00:00"/>
    <x v="0"/>
    <x v="249"/>
    <x v="29"/>
    <m/>
    <s v="Cyrus Maina Njuguna"/>
    <x v="1"/>
    <x v="0"/>
    <x v="0"/>
    <s v="shot"/>
    <x v="8"/>
    <x v="1"/>
    <m/>
    <m/>
    <s v="Not Provided"/>
    <m/>
    <m/>
    <s v="Karen"/>
    <x v="34"/>
  </r>
  <r>
    <s v="Stella Cherono"/>
    <s v="Nairobi News"/>
    <d v="2017-12-18T00:00:00"/>
    <x v="0"/>
    <x v="250"/>
    <x v="13"/>
    <m/>
    <s v="Ahmed"/>
    <x v="4"/>
    <x v="1"/>
    <x v="2"/>
    <s v="other"/>
    <x v="0"/>
    <x v="1"/>
    <m/>
    <m/>
    <s v="Not Provided"/>
    <m/>
    <m/>
    <s v="KNH"/>
    <x v="34"/>
  </r>
  <r>
    <s v="Cyrus Ombati"/>
    <s v="Standard Digital "/>
    <d v="2017-12-28T00:00:00"/>
    <x v="0"/>
    <x v="1"/>
    <x v="0"/>
    <m/>
    <s v="Not Provided"/>
    <x v="0"/>
    <x v="0"/>
    <x v="0"/>
    <s v="stabbed"/>
    <x v="1"/>
    <x v="1"/>
    <m/>
    <m/>
    <s v="Not Provided"/>
    <m/>
    <m/>
    <s v="Kibera slums"/>
    <x v="34"/>
  </r>
  <r>
    <s v="Star Reporter"/>
    <s v="The Star "/>
    <d v="2018-04-07T00:00:00"/>
    <x v="0"/>
    <x v="1"/>
    <x v="0"/>
    <m/>
    <s v="Titus Masika"/>
    <x v="0"/>
    <x v="0"/>
    <x v="5"/>
    <s v="blunt force"/>
    <x v="1"/>
    <x v="1"/>
    <m/>
    <m/>
    <s v="Not Provided"/>
    <m/>
    <m/>
    <s v="Ngong road"/>
    <x v="34"/>
  </r>
  <r>
    <s v="Joseph Ndunda And Maureen Kinyanjui"/>
    <s v="The Star "/>
    <d v="2018-05-07T00:00:00"/>
    <x v="0"/>
    <x v="251"/>
    <x v="31"/>
    <d v="2018-05-06T00:00:00"/>
    <s v="Maina"/>
    <x v="3"/>
    <x v="0"/>
    <x v="0"/>
    <s v="Strangled"/>
    <x v="1"/>
    <x v="1"/>
    <m/>
    <m/>
    <s v="Not Provided"/>
    <m/>
    <m/>
    <s v="Marurui village"/>
    <x v="34"/>
  </r>
  <r>
    <s v="Star Reporter"/>
    <s v="The Star "/>
    <d v="2018-05-15T00:00:00"/>
    <x v="0"/>
    <x v="1"/>
    <x v="40"/>
    <d v="2018-05-14T00:00:00"/>
    <s v="Not Provided"/>
    <x v="3"/>
    <x v="0"/>
    <x v="0"/>
    <s v="shot"/>
    <x v="0"/>
    <x v="1"/>
    <m/>
    <m/>
    <s v="Not Provided"/>
    <m/>
    <m/>
    <s v="Ruai AP camp"/>
    <x v="34"/>
  </r>
  <r>
    <s v="Cyrus Ombati"/>
    <s v="Standard digital"/>
    <d v="2018-08-16T00:00:00"/>
    <x v="0"/>
    <x v="1"/>
    <x v="0"/>
    <m/>
    <s v="Not Provided"/>
    <x v="4"/>
    <x v="2"/>
    <x v="0"/>
    <s v="blunt force"/>
    <x v="0"/>
    <x v="1"/>
    <m/>
    <m/>
    <s v="Not Provided"/>
    <m/>
    <m/>
    <s v="Chokaa"/>
    <x v="34"/>
  </r>
  <r>
    <s v="Mercy Asamba"/>
    <s v="Standard Digital "/>
    <d v="2018-09-21T00:00:00"/>
    <x v="0"/>
    <x v="252"/>
    <x v="30"/>
    <m/>
    <s v="Joseph Kuria Irungu"/>
    <x v="6"/>
    <x v="2"/>
    <x v="0"/>
    <s v="stabbed"/>
    <x v="0"/>
    <x v="2"/>
    <d v="2018-09-26T00:00:00"/>
    <m/>
    <s v="Not Provided"/>
    <m/>
    <m/>
    <s v="Kilimani"/>
    <x v="34"/>
  </r>
  <r>
    <s v="Carolyne Kubwa"/>
    <s v="The Star "/>
    <d v="2019-02-12T00:00:00"/>
    <x v="0"/>
    <x v="253"/>
    <x v="0"/>
    <m/>
    <s v="Emmanuel Owuor"/>
    <x v="1"/>
    <x v="0"/>
    <x v="2"/>
    <s v="Not Provided "/>
    <x v="0"/>
    <x v="1"/>
    <m/>
    <m/>
    <s v="Not Provided"/>
    <m/>
    <m/>
    <s v="GNK Hamza Hotel lodge"/>
    <x v="34"/>
  </r>
  <r>
    <s v="Akello Odenyo"/>
    <s v="The Star "/>
    <d v="2019-02-22T00:00:00"/>
    <x v="0"/>
    <x v="254"/>
    <x v="8"/>
    <m/>
    <s v="Lyko Onyango"/>
    <x v="0"/>
    <x v="0"/>
    <x v="0"/>
    <s v="Strangled"/>
    <x v="1"/>
    <x v="2"/>
    <d v="2019-02-22T00:00:00"/>
    <m/>
    <s v="Not Provided"/>
    <m/>
    <m/>
    <s v="Kahawa Sukari"/>
    <x v="34"/>
  </r>
  <r>
    <s v="Not Provided"/>
    <s v="Ghetto Radio"/>
    <m/>
    <x v="0"/>
    <x v="255"/>
    <x v="0"/>
    <m/>
    <s v="Not Provided"/>
    <x v="3"/>
    <x v="1"/>
    <x v="1"/>
    <s v="Not Provided "/>
    <x v="0"/>
    <x v="0"/>
    <m/>
    <m/>
    <s v="Not Provided"/>
    <m/>
    <m/>
    <s v="Nairobi County"/>
    <x v="34"/>
  </r>
  <r>
    <s v="Not Provided"/>
    <s v="Citizen TV"/>
    <m/>
    <x v="0"/>
    <x v="256"/>
    <x v="0"/>
    <d v="2019-05-25T00:00:00"/>
    <s v="Not Provided"/>
    <x v="3"/>
    <x v="1"/>
    <x v="1"/>
    <s v="Not Provided "/>
    <x v="0"/>
    <x v="0"/>
    <m/>
    <m/>
    <s v="Not Provided"/>
    <m/>
    <m/>
    <s v="Nairobi County"/>
    <x v="34"/>
  </r>
  <r>
    <s v="Carolyne Kubwa"/>
    <s v="The Star "/>
    <d v="2019-11-08T00:00:00"/>
    <x v="0"/>
    <x v="257"/>
    <x v="0"/>
    <m/>
    <s v="John Otieno"/>
    <x v="1"/>
    <x v="0"/>
    <x v="2"/>
    <s v="stabbed"/>
    <x v="1"/>
    <x v="2"/>
    <d v="2019-11-07T00:00:00"/>
    <m/>
    <s v="Not Provided"/>
    <m/>
    <m/>
    <s v="Soweto Estate"/>
    <x v="34"/>
  </r>
  <r>
    <s v="Corazon Wafula"/>
    <s v="The Star "/>
    <d v="2020-02-11T00:00:00"/>
    <x v="0"/>
    <x v="258"/>
    <x v="0"/>
    <m/>
    <s v="Washington Onyango"/>
    <x v="0"/>
    <x v="0"/>
    <x v="0"/>
    <s v="Not Provided "/>
    <x v="0"/>
    <x v="1"/>
    <m/>
    <m/>
    <s v="Not Provided"/>
    <m/>
    <m/>
    <s v="Kioi area"/>
    <x v="34"/>
  </r>
  <r>
    <s v="Carolyne Kubwa"/>
    <s v="The Star "/>
    <d v="2020-03-23T00:00:00"/>
    <x v="0"/>
    <x v="259"/>
    <x v="0"/>
    <m/>
    <s v="James Otieno"/>
    <x v="3"/>
    <x v="0"/>
    <x v="0"/>
    <s v="Not Provided "/>
    <x v="0"/>
    <x v="1"/>
    <m/>
    <m/>
    <s v="Not Provided"/>
    <m/>
    <m/>
    <s v="Donholm estate"/>
    <x v="34"/>
  </r>
  <r>
    <s v="Corazon Wafula "/>
    <s v="The Star "/>
    <d v="2020-04-21T00:00:00"/>
    <x v="0"/>
    <x v="260"/>
    <x v="17"/>
    <m/>
    <s v="Mwanza Ukadidi Didier"/>
    <x v="3"/>
    <x v="0"/>
    <x v="0"/>
    <s v="blunt force"/>
    <x v="0"/>
    <x v="2"/>
    <d v="2020-05-04T00:00:00"/>
    <m/>
    <s v="Not Provided"/>
    <m/>
    <m/>
    <s v="pipeline estate"/>
    <x v="34"/>
  </r>
  <r>
    <s v="Corazon Wafula"/>
    <s v="The Star "/>
    <d v="2020-06-04T00:00:00"/>
    <x v="0"/>
    <x v="1"/>
    <x v="0"/>
    <d v="2020-05-31T00:00:00"/>
    <s v="David Migwi Kariuki"/>
    <x v="3"/>
    <x v="0"/>
    <x v="1"/>
    <s v="hacked"/>
    <x v="0"/>
    <x v="2"/>
    <d v="2020-06-04T00:00:00"/>
    <m/>
    <s v="Not Provided"/>
    <m/>
    <m/>
    <s v="Umoja estate"/>
    <x v="34"/>
  </r>
  <r>
    <s v="Not Provided"/>
    <s v="Daily Nation "/>
    <d v="2020-07-23T00:00:00"/>
    <x v="0"/>
    <x v="261"/>
    <x v="0"/>
    <m/>
    <s v="christine Awuor, Claire chepkoech, Shem Lwanga"/>
    <x v="6"/>
    <x v="2"/>
    <x v="2"/>
    <s v="blunt force"/>
    <x v="0"/>
    <x v="2"/>
    <d v="2020-07-23T00:00:00"/>
    <m/>
    <s v="Not Provided"/>
    <m/>
    <m/>
    <s v="Santonia court"/>
    <x v="34"/>
  </r>
  <r>
    <s v="Corazon Wafula"/>
    <s v="The Star "/>
    <d v="2020-11-20T00:00:00"/>
    <x v="0"/>
    <x v="262"/>
    <x v="0"/>
    <m/>
    <s v="Jescah Kalumu Mungatu"/>
    <x v="5"/>
    <x v="2"/>
    <x v="0"/>
    <s v="Strangled"/>
    <x v="1"/>
    <x v="2"/>
    <d v="2020-12-02T00:00:00"/>
    <m/>
    <s v="Not Provided"/>
    <m/>
    <m/>
    <s v="Makadara"/>
    <x v="34"/>
  </r>
  <r>
    <s v="Mate Tongola"/>
    <s v="Not Provided"/>
    <d v="2022-11-22T00:00:00"/>
    <x v="0"/>
    <x v="1"/>
    <x v="0"/>
    <m/>
    <s v="Joseph Njenga"/>
    <x v="3"/>
    <x v="1"/>
    <x v="0"/>
    <s v="stabbed"/>
    <x v="0"/>
    <x v="0"/>
    <m/>
    <m/>
    <s v="Not Provided"/>
    <m/>
    <m/>
    <s v="Kasarani"/>
    <x v="34"/>
  </r>
  <r>
    <s v="By _x000a_ Vincent Achuka"/>
    <s v="The Nation"/>
    <d v="2021-02-24T00:00:00"/>
    <x v="0"/>
    <x v="263"/>
    <x v="28"/>
    <m/>
    <s v="Kevin kipkoech"/>
    <x v="3"/>
    <x v="0"/>
    <x v="0"/>
    <s v="Strangled"/>
    <x v="0"/>
    <x v="3"/>
    <m/>
    <m/>
    <s v="Not Provided"/>
    <m/>
    <m/>
    <s v="government quatres"/>
    <x v="34"/>
  </r>
  <r>
    <s v="Cyrus Ombati"/>
    <s v="The Star "/>
    <d v="2021-03-21T00:00:00"/>
    <x v="0"/>
    <x v="264"/>
    <x v="1"/>
    <m/>
    <s v="Joseph Murimi"/>
    <x v="4"/>
    <x v="1"/>
    <x v="2"/>
    <s v="blunt force"/>
    <x v="0"/>
    <x v="0"/>
    <m/>
    <m/>
    <s v="Not Provided"/>
    <m/>
    <m/>
    <s v="Kiamumbi area"/>
    <x v="34"/>
  </r>
  <r>
    <s v="Kamore Maina"/>
    <s v="Standard digital"/>
    <d v="2021-08-13T00:00:00"/>
    <x v="0"/>
    <x v="1"/>
    <x v="13"/>
    <m/>
    <s v="James Wafula"/>
    <x v="3"/>
    <x v="1"/>
    <x v="0"/>
    <s v="stabbed"/>
    <x v="0"/>
    <x v="0"/>
    <m/>
    <m/>
    <s v="Not Provided"/>
    <m/>
    <m/>
    <s v="Kangemi"/>
    <x v="34"/>
  </r>
  <r>
    <s v="Cyrus Ombati"/>
    <s v="The Star "/>
    <d v="2021-09-15T00:00:00"/>
    <x v="0"/>
    <x v="265"/>
    <x v="0"/>
    <m/>
    <s v="Not Provided"/>
    <x v="3"/>
    <x v="0"/>
    <x v="0"/>
    <s v="shot"/>
    <x v="1"/>
    <x v="1"/>
    <m/>
    <m/>
    <s v="Not Provided"/>
    <m/>
    <m/>
    <s v="Mukarara village"/>
    <x v="34"/>
  </r>
  <r>
    <s v="James Wanzala"/>
    <s v="Standard Digital "/>
    <d v="2021-09-28T00:00:00"/>
    <x v="0"/>
    <x v="1"/>
    <x v="0"/>
    <m/>
    <s v="Not Provided"/>
    <x v="0"/>
    <x v="0"/>
    <x v="0"/>
    <s v="stabbed"/>
    <x v="1"/>
    <x v="1"/>
    <m/>
    <m/>
    <s v="Not Provided"/>
    <m/>
    <m/>
    <s v="Kware Embakasi"/>
    <x v="34"/>
  </r>
  <r>
    <s v="Carolyne Kubwa"/>
    <s v="The Star "/>
    <d v="2021-10-14T00:00:00"/>
    <x v="0"/>
    <x v="266"/>
    <x v="0"/>
    <m/>
    <s v="Stephen Mauti"/>
    <x v="0"/>
    <x v="0"/>
    <x v="0"/>
    <s v="Strangled"/>
    <x v="2"/>
    <x v="2"/>
    <d v="2021-10-17T00:00:00"/>
    <m/>
    <s v="Not Provided"/>
    <m/>
    <m/>
    <s v="Kangemi"/>
    <x v="34"/>
  </r>
  <r>
    <s v="Nzau Musau"/>
    <s v="Standard Digital "/>
    <d v="2021-11-22T00:00:00"/>
    <x v="0"/>
    <x v="267"/>
    <x v="0"/>
    <m/>
    <s v="Not Provided"/>
    <x v="4"/>
    <x v="1"/>
    <x v="2"/>
    <s v="stabbed"/>
    <x v="0"/>
    <x v="3"/>
    <m/>
    <m/>
    <s v="Not Provided"/>
    <m/>
    <m/>
    <s v="Westland hotel"/>
    <x v="34"/>
  </r>
  <r>
    <s v="Cyrus Ombati And Laura Shatuma"/>
    <s v="The Star "/>
    <d v="2021-12-07T00:00:00"/>
    <x v="0"/>
    <x v="268"/>
    <x v="0"/>
    <m/>
    <s v="Const. Benson Imbatu"/>
    <x v="3"/>
    <x v="0"/>
    <x v="0"/>
    <s v="shot"/>
    <x v="1"/>
    <x v="3"/>
    <m/>
    <m/>
    <s v="Not Provided"/>
    <m/>
    <m/>
    <s v="Kabete area"/>
    <x v="34"/>
  </r>
  <r>
    <s v="Mate Tongola"/>
    <s v="Standard Digital "/>
    <d v="2022-03-04T00:00:00"/>
    <x v="0"/>
    <x v="269"/>
    <x v="0"/>
    <m/>
    <s v="Not Provided"/>
    <x v="2"/>
    <x v="0"/>
    <x v="0"/>
    <s v="stabbed"/>
    <x v="8"/>
    <x v="1"/>
    <m/>
    <m/>
    <s v="Not Provided"/>
    <m/>
    <m/>
    <s v="Kayole"/>
    <x v="34"/>
  </r>
  <r>
    <s v="Patrick Vidija"/>
    <s v="Standard Digital "/>
    <d v="2022-04-02T00:00:00"/>
    <x v="0"/>
    <x v="270"/>
    <x v="0"/>
    <m/>
    <s v="Sebastian Kamande"/>
    <x v="0"/>
    <x v="0"/>
    <x v="0"/>
    <s v="other"/>
    <x v="0"/>
    <x v="1"/>
    <m/>
    <m/>
    <s v="Not Provided"/>
    <m/>
    <m/>
    <s v="Dandora"/>
    <x v="34"/>
  </r>
  <r>
    <s v="Cyrus Ombati"/>
    <s v="The Star "/>
    <d v="2022-04-24T00:00:00"/>
    <x v="0"/>
    <x v="271"/>
    <x v="2"/>
    <m/>
    <s v="Nikesh Harji Shanghani"/>
    <x v="0"/>
    <x v="0"/>
    <x v="0"/>
    <s v="Not Provided "/>
    <x v="0"/>
    <x v="1"/>
    <m/>
    <m/>
    <s v="Not Provided"/>
    <m/>
    <m/>
    <s v="Lang'ata area"/>
    <x v="34"/>
  </r>
  <r>
    <s v="Cyrus Ombati"/>
    <s v="The Star "/>
    <d v="2022-06-09T00:00:00"/>
    <x v="0"/>
    <x v="1"/>
    <x v="5"/>
    <m/>
    <s v="Peter Kamau"/>
    <x v="3"/>
    <x v="0"/>
    <x v="0"/>
    <s v="other"/>
    <x v="0"/>
    <x v="1"/>
    <m/>
    <m/>
    <s v="Not Provided"/>
    <m/>
    <m/>
    <s v="Drive inn"/>
    <x v="34"/>
  </r>
  <r>
    <s v="Cyrus Ombati"/>
    <s v="The Star "/>
    <d v="2022-06-30T00:00:00"/>
    <x v="0"/>
    <x v="272"/>
    <x v="0"/>
    <m/>
    <s v="Not Provided"/>
    <x v="3"/>
    <x v="0"/>
    <x v="0"/>
    <s v="stabbed"/>
    <x v="0"/>
    <x v="1"/>
    <m/>
    <m/>
    <s v="Not Provided"/>
    <m/>
    <m/>
    <s v="Huruma area"/>
    <x v="34"/>
  </r>
  <r>
    <s v="Cyrus Ombati"/>
    <s v="The Star "/>
    <d v="2022-07-21T00:00:00"/>
    <x v="0"/>
    <x v="273"/>
    <x v="12"/>
    <m/>
    <s v="Edwin Onditi Odada"/>
    <x v="6"/>
    <x v="2"/>
    <x v="0"/>
    <s v="Strangled"/>
    <x v="0"/>
    <x v="1"/>
    <m/>
    <m/>
    <s v="Not Provided"/>
    <m/>
    <m/>
    <s v="Mowlwm"/>
    <x v="34"/>
  </r>
  <r>
    <s v="Star Reporter"/>
    <s v="The Star "/>
    <d v="2023-01-03T00:00:00"/>
    <x v="0"/>
    <x v="274"/>
    <x v="50"/>
    <m/>
    <s v="Thomas Mbugua Muthee"/>
    <x v="3"/>
    <x v="0"/>
    <x v="0"/>
    <s v="stabbed"/>
    <x v="1"/>
    <x v="2"/>
    <d v="2023-01-03T00:00:00"/>
    <m/>
    <s v="Not Provided"/>
    <m/>
    <m/>
    <s v="Oyoka Estate"/>
    <x v="34"/>
  </r>
  <r>
    <s v="Cyrus Ombati"/>
    <s v="The Star "/>
    <d v="2022-11-22T00:00:00"/>
    <x v="0"/>
    <x v="275"/>
    <x v="0"/>
    <m/>
    <s v="Not Provided"/>
    <x v="6"/>
    <x v="2"/>
    <x v="0"/>
    <s v="stabbed"/>
    <x v="20"/>
    <x v="1"/>
    <m/>
    <m/>
    <s v="Not Provided"/>
    <m/>
    <m/>
    <s v="Zimmerman"/>
    <x v="34"/>
  </r>
  <r>
    <s v="Cyrus Ombati"/>
    <s v="The Star "/>
    <d v="2023-01-09T00:00:00"/>
    <x v="0"/>
    <x v="1"/>
    <x v="0"/>
    <m/>
    <s v="Joseph Wanaina"/>
    <x v="3"/>
    <x v="0"/>
    <x v="0"/>
    <s v="Strangled"/>
    <x v="31"/>
    <x v="1"/>
    <m/>
    <m/>
    <s v="Not Provided"/>
    <m/>
    <m/>
    <s v="Tushauriane"/>
    <x v="34"/>
  </r>
  <r>
    <s v=" Mary Wambui"/>
    <s v="Daily Nation "/>
    <d v="2023-03-06T00:00:00"/>
    <x v="0"/>
    <x v="276"/>
    <x v="8"/>
    <m/>
    <s v="Mark Mulanda"/>
    <x v="0"/>
    <x v="0"/>
    <x v="0"/>
    <s v="shot"/>
    <x v="0"/>
    <x v="5"/>
    <m/>
    <m/>
    <s v="Not Provided"/>
    <m/>
    <m/>
    <s v="Mugumoini chief's camp"/>
    <x v="34"/>
  </r>
  <r>
    <s v="Edwin Obuya"/>
    <s v="Citizen Digital"/>
    <d v="2023-03-05T00:00:00"/>
    <x v="0"/>
    <x v="1"/>
    <x v="8"/>
    <m/>
    <s v="Not Provided"/>
    <x v="3"/>
    <x v="0"/>
    <x v="0"/>
    <s v="shot"/>
    <x v="0"/>
    <x v="3"/>
    <m/>
    <m/>
    <s v="Not Provided"/>
    <m/>
    <m/>
    <s v="Langata"/>
    <x v="34"/>
  </r>
  <r>
    <s v=" Nyaboga Kiage"/>
    <s v="Daily Nation "/>
    <d v="2023-03-17T00:00:00"/>
    <x v="0"/>
    <x v="277"/>
    <x v="31"/>
    <m/>
    <s v="Samuel Longitude"/>
    <x v="0"/>
    <x v="0"/>
    <x v="0"/>
    <s v="stabbed"/>
    <x v="32"/>
    <x v="5"/>
    <m/>
    <m/>
    <s v="Not Provided"/>
    <m/>
    <m/>
    <s v="Kasarani"/>
    <x v="34"/>
  </r>
  <r>
    <s v=" Mercy Koskei"/>
    <s v="Daily Nation "/>
    <d v="2023-04-05T00:00:00"/>
    <x v="0"/>
    <x v="278"/>
    <x v="51"/>
    <m/>
    <s v="Jesse Wafula Wakukha"/>
    <x v="3"/>
    <x v="0"/>
    <x v="4"/>
    <s v="stabbed"/>
    <x v="0"/>
    <x v="1"/>
    <m/>
    <m/>
    <s v="Not Provided"/>
    <m/>
    <m/>
    <s v="Roadside in Jamhuri Estate"/>
    <x v="34"/>
  </r>
  <r>
    <s v="Cyrus Ombati"/>
    <s v="The Star "/>
    <d v="2023-04-25T00:00:00"/>
    <x v="0"/>
    <x v="1"/>
    <x v="45"/>
    <m/>
    <s v="Not Provided"/>
    <x v="4"/>
    <x v="2"/>
    <x v="2"/>
    <s v="Not Provided "/>
    <x v="0"/>
    <x v="1"/>
    <m/>
    <m/>
    <s v="Not Provided"/>
    <m/>
    <m/>
    <s v="Kasarani"/>
    <x v="34"/>
  </r>
  <r>
    <s v="Cyrus Ombati"/>
    <s v="The Star "/>
    <d v="2023-06-01T00:00:00"/>
    <x v="0"/>
    <x v="279"/>
    <x v="10"/>
    <d v="2023-05-30T00:00:00"/>
    <s v="William Papai"/>
    <x v="3"/>
    <x v="0"/>
    <x v="0"/>
    <s v="stabbed"/>
    <x v="0"/>
    <x v="1"/>
    <m/>
    <m/>
    <s v="Not Provided"/>
    <m/>
    <m/>
    <s v="Kamulu"/>
    <x v="34"/>
  </r>
  <r>
    <s v="Cyrus Ombati"/>
    <s v="The Star "/>
    <d v="2023-06-22T00:00:00"/>
    <x v="0"/>
    <x v="1"/>
    <x v="11"/>
    <m/>
    <s v="Not Provided"/>
    <x v="0"/>
    <x v="0"/>
    <x v="0"/>
    <s v="stabbed"/>
    <x v="24"/>
    <x v="1"/>
    <m/>
    <m/>
    <s v="Not Provided"/>
    <m/>
    <m/>
    <s v="Buruburu"/>
    <x v="34"/>
  </r>
  <r>
    <s v="Nation Reporter"/>
    <s v="Daily Nation "/>
    <d v="2023-11-01T00:00:00"/>
    <x v="0"/>
    <x v="280"/>
    <x v="14"/>
    <m/>
    <s v="Nicholas Ouma Ochieng"/>
    <x v="1"/>
    <x v="0"/>
    <x v="0"/>
    <s v="stabbed"/>
    <x v="0"/>
    <x v="1"/>
    <m/>
    <m/>
    <s v="Not Provided"/>
    <m/>
    <m/>
    <s v="Kariadudu"/>
    <x v="34"/>
  </r>
  <r>
    <s v="Sammy Kimatu"/>
    <s v="Not Provided"/>
    <d v="2023-12-06T00:00:00"/>
    <x v="0"/>
    <x v="281"/>
    <x v="0"/>
    <m/>
    <s v="Not Provided"/>
    <x v="4"/>
    <x v="2"/>
    <x v="2"/>
    <s v="stabbed"/>
    <x v="33"/>
    <x v="1"/>
    <m/>
    <m/>
    <s v="Not Provided"/>
    <m/>
    <m/>
    <s v="Plainsview in South B"/>
    <x v="34"/>
  </r>
  <r>
    <s v="Kamore Maina"/>
    <s v="Standard digital"/>
    <d v="2021-01-26T00:00:00"/>
    <x v="0"/>
    <x v="282"/>
    <x v="28"/>
    <m/>
    <s v="Not Provided"/>
    <x v="2"/>
    <x v="1"/>
    <x v="0"/>
    <s v="burned"/>
    <x v="0"/>
    <x v="0"/>
    <m/>
    <m/>
    <s v="Not Provided"/>
    <m/>
    <m/>
    <s v="Kayole Junction"/>
    <x v="34"/>
  </r>
  <r>
    <s v="Fidelis Kabunyi "/>
    <s v="Standard digital"/>
    <d v="2021-10-19T00:00:00"/>
    <x v="0"/>
    <x v="283"/>
    <x v="56"/>
    <m/>
    <s v="Not Provided"/>
    <x v="5"/>
    <x v="1"/>
    <x v="0"/>
    <s v="stabbed"/>
    <x v="0"/>
    <x v="0"/>
    <m/>
    <m/>
    <s v="Not Provided"/>
    <m/>
    <m/>
    <s v="Mwiki"/>
    <x v="34"/>
  </r>
  <r>
    <s v="Not Provided"/>
    <s v="Daily Nation "/>
    <d v="2017-12-15T00:00:00"/>
    <x v="0"/>
    <x v="1"/>
    <x v="0"/>
    <m/>
    <s v="Not Provided"/>
    <x v="3"/>
    <x v="0"/>
    <x v="0"/>
    <s v="stabbed"/>
    <x v="1"/>
    <x v="0"/>
    <m/>
    <m/>
    <s v="Not Provided"/>
    <m/>
    <m/>
    <s v="Parklands"/>
    <x v="34"/>
  </r>
  <r>
    <s v="Winfrey Owino"/>
    <s v="Not Provided"/>
    <d v="2022-03-06T00:00:00"/>
    <x v="0"/>
    <x v="284"/>
    <x v="0"/>
    <m/>
    <s v="Not Provided"/>
    <x v="3"/>
    <x v="1"/>
    <x v="0"/>
    <s v="stabbed"/>
    <x v="0"/>
    <x v="0"/>
    <m/>
    <m/>
    <s v="Not Provided"/>
    <m/>
    <m/>
    <s v="Kasarani"/>
    <x v="34"/>
  </r>
  <r>
    <s v="Cyrus Ombati"/>
    <s v="The Star "/>
    <d v="2023-07-04T00:00:00"/>
    <x v="0"/>
    <x v="285"/>
    <x v="47"/>
    <m/>
    <s v="Not Provided"/>
    <x v="3"/>
    <x v="0"/>
    <x v="0"/>
    <s v="Strangled"/>
    <x v="34"/>
    <x v="1"/>
    <m/>
    <m/>
    <s v="Not Provided"/>
    <m/>
    <m/>
    <s v="Karagita area"/>
    <x v="35"/>
  </r>
  <r>
    <s v="By _x000a_ Joseph Wangui"/>
    <s v="The Nation"/>
    <d v="2021-03-20T00:00:00"/>
    <x v="0"/>
    <x v="286"/>
    <x v="13"/>
    <m/>
    <s v="Cecilia Waruguru"/>
    <x v="6"/>
    <x v="2"/>
    <x v="0"/>
    <s v="stabbed"/>
    <x v="2"/>
    <x v="0"/>
    <m/>
    <d v="2021-03-20T00:00:00"/>
    <s v="guilty"/>
    <m/>
    <n v="2820"/>
    <s v="King'ori Estate Naivasha"/>
    <x v="36"/>
  </r>
  <r>
    <s v=" Magdalene Wanja"/>
    <s v="Nairobi News"/>
    <d v="2016-01-18T00:00:00"/>
    <x v="0"/>
    <x v="287"/>
    <x v="3"/>
    <m/>
    <s v="Not Provided"/>
    <x v="4"/>
    <x v="2"/>
    <x v="1"/>
    <s v="Not Provided "/>
    <x v="0"/>
    <x v="1"/>
    <m/>
    <m/>
    <s v="Not Provided"/>
    <m/>
    <m/>
    <s v="Freehold Estate"/>
    <x v="36"/>
  </r>
  <r>
    <s v="Mercy Kahenda"/>
    <s v="Standard Digital "/>
    <d v="2016-12-08T00:00:00"/>
    <x v="0"/>
    <x v="288"/>
    <x v="0"/>
    <m/>
    <s v="Not Provided"/>
    <x v="2"/>
    <x v="0"/>
    <x v="0"/>
    <s v="hacked"/>
    <x v="8"/>
    <x v="0"/>
    <m/>
    <m/>
    <s v="Not Provided"/>
    <m/>
    <m/>
    <s v="Ingobor village"/>
    <x v="36"/>
  </r>
  <r>
    <s v="Antony Gitonga"/>
    <s v="Standard Digital "/>
    <d v="2017-02-13T00:00:00"/>
    <x v="0"/>
    <x v="1"/>
    <x v="57"/>
    <m/>
    <s v="Not Provided"/>
    <x v="4"/>
    <x v="1"/>
    <x v="2"/>
    <s v="blunt force"/>
    <x v="0"/>
    <x v="1"/>
    <m/>
    <m/>
    <s v="Not Provided"/>
    <m/>
    <m/>
    <s v="Muniu village"/>
    <x v="36"/>
  </r>
  <r>
    <s v="Kennedy Gachuhi, Philip Mwakio And Mkamburi Mwawas"/>
    <s v="Standard Digital "/>
    <d v="2017-09-20T00:00:00"/>
    <x v="0"/>
    <x v="289"/>
    <x v="0"/>
    <m/>
    <s v="Daniel Mwangi (Deceased)"/>
    <x v="0"/>
    <x v="0"/>
    <x v="0"/>
    <s v="stabbed"/>
    <x v="1"/>
    <x v="0"/>
    <m/>
    <m/>
    <s v="Not Provided"/>
    <m/>
    <m/>
    <s v="Tayari village"/>
    <x v="36"/>
  </r>
  <r>
    <s v="Simon Ngure"/>
    <s v="Citizen Digital"/>
    <d v="2017-09-27T00:00:00"/>
    <x v="0"/>
    <x v="290"/>
    <x v="5"/>
    <m/>
    <s v="Stephen Kimani Mungai"/>
    <x v="3"/>
    <x v="0"/>
    <x v="0"/>
    <s v="shot"/>
    <x v="1"/>
    <x v="1"/>
    <m/>
    <m/>
    <s v="Not Provided"/>
    <m/>
    <m/>
    <s v="Kanu Street"/>
    <x v="36"/>
  </r>
  <r>
    <s v="Mercy Kahenda"/>
    <s v="Standard Digital "/>
    <d v="2017-12-12T00:00:00"/>
    <x v="0"/>
    <x v="1"/>
    <x v="0"/>
    <m/>
    <s v="Not Provided"/>
    <x v="4"/>
    <x v="1"/>
    <x v="2"/>
    <s v="blunt force"/>
    <x v="0"/>
    <x v="1"/>
    <m/>
    <m/>
    <s v="Not Provided"/>
    <m/>
    <m/>
    <s v="Ol-Rongai village"/>
    <x v="36"/>
  </r>
  <r>
    <s v="Nancy Agutu"/>
    <s v="The Star "/>
    <d v="2018-01-05T00:00:00"/>
    <x v="0"/>
    <x v="291"/>
    <x v="50"/>
    <m/>
    <s v="Benjamin Lelmen"/>
    <x v="3"/>
    <x v="0"/>
    <x v="0"/>
    <s v="shot"/>
    <x v="1"/>
    <x v="1"/>
    <m/>
    <m/>
    <s v="Not Provided"/>
    <m/>
    <m/>
    <s v="Kongoni station"/>
    <x v="36"/>
  </r>
  <r>
    <s v="Mercy Kahenda"/>
    <s v="Standard Digital "/>
    <d v="2018-02-19T00:00:00"/>
    <x v="0"/>
    <x v="292"/>
    <x v="13"/>
    <m/>
    <s v="Edmond Ruto"/>
    <x v="2"/>
    <x v="0"/>
    <x v="0"/>
    <s v="stabbed"/>
    <x v="0"/>
    <x v="0"/>
    <d v="2018-02-21T00:00:00"/>
    <d v="2022-10-06T00:00:00"/>
    <s v="guilty"/>
    <n v="10"/>
    <n v="1690"/>
    <s v="Egerton University"/>
    <x v="36"/>
  </r>
  <r>
    <s v="Julius Chepkwony"/>
    <s v="Standard digital"/>
    <d v="2018-03-15T00:00:00"/>
    <x v="0"/>
    <x v="293"/>
    <x v="12"/>
    <m/>
    <s v="Cosmas Kipchumba Biwott"/>
    <x v="0"/>
    <x v="0"/>
    <x v="0"/>
    <s v="shot"/>
    <x v="1"/>
    <x v="4"/>
    <d v="2018-03-14T00:00:00"/>
    <m/>
    <s v="Not Provided"/>
    <m/>
    <m/>
    <s v="Suswa ASTU camp"/>
    <x v="36"/>
  </r>
  <r>
    <s v="George Murage"/>
    <s v="The Star "/>
    <d v="2018-03-21T00:00:00"/>
    <x v="0"/>
    <x v="294"/>
    <x v="51"/>
    <m/>
    <s v="Lawrence Gitau"/>
    <x v="0"/>
    <x v="0"/>
    <x v="0"/>
    <s v="burned"/>
    <x v="2"/>
    <x v="1"/>
    <m/>
    <m/>
    <s v="Not Provided"/>
    <m/>
    <m/>
    <s v="Longonot centre"/>
    <x v="36"/>
  </r>
  <r>
    <s v="Caroline Chebet"/>
    <s v="Standard Digital "/>
    <d v="2018-05-15T00:00:00"/>
    <x v="0"/>
    <x v="1"/>
    <x v="0"/>
    <d v="2018-05-14T00:00:00"/>
    <s v="Not Provided"/>
    <x v="0"/>
    <x v="0"/>
    <x v="0"/>
    <s v="hacked"/>
    <x v="1"/>
    <x v="1"/>
    <m/>
    <m/>
    <s v="Not Provided"/>
    <m/>
    <m/>
    <s v="Ng'ondu village"/>
    <x v="36"/>
  </r>
  <r>
    <s v="Evans Asiba"/>
    <s v="Citizen Digital"/>
    <d v="2018-05-15T00:00:00"/>
    <x v="0"/>
    <x v="1"/>
    <x v="0"/>
    <d v="2018-05-14T00:00:00"/>
    <s v="Raphael Waweru"/>
    <x v="0"/>
    <x v="0"/>
    <x v="0"/>
    <s v="stabbed"/>
    <x v="1"/>
    <x v="1"/>
    <m/>
    <m/>
    <s v="Not Provided"/>
    <m/>
    <m/>
    <s v="Rongai"/>
    <x v="36"/>
  </r>
  <r>
    <s v="Antony Gitonga"/>
    <s v="Standard Digital "/>
    <d v="2018-06-25T00:00:00"/>
    <x v="0"/>
    <x v="1"/>
    <x v="53"/>
    <m/>
    <s v="Not Provided"/>
    <x v="3"/>
    <x v="0"/>
    <x v="2"/>
    <s v="stabbed"/>
    <x v="0"/>
    <x v="1"/>
    <m/>
    <m/>
    <s v="Not Provided"/>
    <m/>
    <m/>
    <s v="Mwiciringiri area"/>
    <x v="36"/>
  </r>
  <r>
    <s v="Mercy Koskey"/>
    <s v="Daily Nation "/>
    <d v="2018-07-25T00:00:00"/>
    <x v="0"/>
    <x v="295"/>
    <x v="2"/>
    <m/>
    <s v="Godfrey Kipkemboi Kangogo"/>
    <x v="6"/>
    <x v="2"/>
    <x v="2"/>
    <s v="Strangled"/>
    <x v="0"/>
    <x v="2"/>
    <d v="2018-07-30T00:00:00"/>
    <m/>
    <s v="Not Provided"/>
    <m/>
    <m/>
    <s v="Choka falls"/>
    <x v="36"/>
  </r>
  <r>
    <s v="Antony Gitonga"/>
    <s v="Standard Digital "/>
    <d v="2018-07-13T00:00:00"/>
    <x v="0"/>
    <x v="296"/>
    <x v="13"/>
    <m/>
    <s v="Not Provided"/>
    <x v="3"/>
    <x v="0"/>
    <x v="2"/>
    <s v="Not Provided "/>
    <x v="1"/>
    <x v="1"/>
    <m/>
    <m/>
    <s v="Not Provided"/>
    <m/>
    <m/>
    <s v="Naivasha"/>
    <x v="36"/>
  </r>
  <r>
    <s v="Antony Gitonga"/>
    <s v="Standard Digital "/>
    <d v="2018-09-26T00:00:00"/>
    <x v="0"/>
    <x v="297"/>
    <x v="0"/>
    <m/>
    <s v="Not Provided"/>
    <x v="4"/>
    <x v="1"/>
    <x v="2"/>
    <s v="blunt force"/>
    <x v="0"/>
    <x v="1"/>
    <m/>
    <m/>
    <s v="Not Provided"/>
    <m/>
    <m/>
    <s v="Gilgil"/>
    <x v="36"/>
  </r>
  <r>
    <s v="Mercy Kahenda"/>
    <s v="Standard digital"/>
    <d v="2018-10-06T00:00:00"/>
    <x v="0"/>
    <x v="298"/>
    <x v="0"/>
    <m/>
    <s v="Hillary Nandasaba"/>
    <x v="3"/>
    <x v="0"/>
    <x v="0"/>
    <s v="stabbed"/>
    <x v="1"/>
    <x v="3"/>
    <m/>
    <m/>
    <s v="Not Provided"/>
    <m/>
    <m/>
    <s v="Njokerio village"/>
    <x v="36"/>
  </r>
  <r>
    <s v="Daniel Chege"/>
    <s v="Standard Digital "/>
    <d v="2018-10-21T00:00:00"/>
    <x v="0"/>
    <x v="299"/>
    <x v="12"/>
    <m/>
    <s v="Nelson Makori"/>
    <x v="4"/>
    <x v="1"/>
    <x v="2"/>
    <s v="hacked"/>
    <x v="0"/>
    <x v="1"/>
    <m/>
    <m/>
    <s v="Not Provided"/>
    <m/>
    <m/>
    <s v="Tapare Village"/>
    <x v="36"/>
  </r>
  <r>
    <s v="People Daily"/>
    <s v="MediaMax Network"/>
    <d v="2018-11-07T00:00:00"/>
    <x v="0"/>
    <x v="300"/>
    <x v="13"/>
    <m/>
    <s v="Const. Cornelius Taalam"/>
    <x v="0"/>
    <x v="0"/>
    <x v="0"/>
    <s v="shot"/>
    <x v="1"/>
    <x v="1"/>
    <m/>
    <m/>
    <s v="Not Provided"/>
    <m/>
    <m/>
    <s v="Njoro Piave"/>
    <x v="36"/>
  </r>
  <r>
    <s v="Kennedy Gachuhi"/>
    <s v="Standard Digital "/>
    <d v="2018-11-23T00:00:00"/>
    <x v="0"/>
    <x v="301"/>
    <x v="12"/>
    <m/>
    <s v="Robert Nyakundi"/>
    <x v="0"/>
    <x v="0"/>
    <x v="0"/>
    <s v="stabbed"/>
    <x v="1"/>
    <x v="1"/>
    <m/>
    <m/>
    <s v="Not Provided"/>
    <m/>
    <m/>
    <s v="Mawe village"/>
    <x v="36"/>
  </r>
  <r>
    <s v="Not Provided"/>
    <s v="The Star "/>
    <m/>
    <x v="0"/>
    <x v="302"/>
    <x v="14"/>
    <m/>
    <s v="Not Provided"/>
    <x v="0"/>
    <x v="1"/>
    <x v="1"/>
    <s v="Not Provided "/>
    <x v="0"/>
    <x v="0"/>
    <m/>
    <m/>
    <s v="Not Provided"/>
    <m/>
    <m/>
    <s v="Nakuru County"/>
    <x v="36"/>
  </r>
  <r>
    <s v="Macharia Mwangi"/>
    <s v="Daily Nation "/>
    <d v="2019-01-20T00:00:00"/>
    <x v="0"/>
    <x v="1"/>
    <x v="0"/>
    <m/>
    <s v="Not Provided"/>
    <x v="4"/>
    <x v="1"/>
    <x v="2"/>
    <s v="hacked"/>
    <x v="0"/>
    <x v="1"/>
    <m/>
    <m/>
    <s v="Not Provided"/>
    <m/>
    <m/>
    <s v="Naivasha"/>
    <x v="36"/>
  </r>
  <r>
    <s v="George Murage"/>
    <s v="The Star "/>
    <d v="2019-02-04T00:00:00"/>
    <x v="0"/>
    <x v="1"/>
    <x v="0"/>
    <m/>
    <s v="Not Provided"/>
    <x v="3"/>
    <x v="0"/>
    <x v="0"/>
    <s v="blunt force"/>
    <x v="0"/>
    <x v="1"/>
    <m/>
    <m/>
    <s v="Not Provided"/>
    <m/>
    <m/>
    <s v="Naivasha"/>
    <x v="36"/>
  </r>
  <r>
    <s v="Not Provided"/>
    <s v="Nairobi News"/>
    <m/>
    <x v="0"/>
    <x v="303"/>
    <x v="0"/>
    <m/>
    <s v="Not Provided"/>
    <x v="3"/>
    <x v="1"/>
    <x v="1"/>
    <s v="Not Provided "/>
    <x v="0"/>
    <x v="0"/>
    <m/>
    <m/>
    <s v="Not Provided"/>
    <m/>
    <m/>
    <s v="Nakuru County"/>
    <x v="36"/>
  </r>
  <r>
    <s v="Not Provided"/>
    <s v="Daily Nation "/>
    <m/>
    <x v="0"/>
    <x v="304"/>
    <x v="5"/>
    <m/>
    <s v="Not Provided"/>
    <x v="3"/>
    <x v="1"/>
    <x v="1"/>
    <s v="Not Provided "/>
    <x v="0"/>
    <x v="0"/>
    <m/>
    <m/>
    <s v="Not Provided"/>
    <m/>
    <m/>
    <s v="Nakuru County"/>
    <x v="36"/>
  </r>
  <r>
    <s v="Not Provided"/>
    <s v="Not Provided"/>
    <m/>
    <x v="0"/>
    <x v="305"/>
    <x v="24"/>
    <d v="2019-05-18T00:00:00"/>
    <s v="Not Provided"/>
    <x v="3"/>
    <x v="1"/>
    <x v="1"/>
    <s v="Not Provided "/>
    <x v="0"/>
    <x v="0"/>
    <m/>
    <m/>
    <s v="Not Provided"/>
    <m/>
    <m/>
    <s v="Nakuru County"/>
    <x v="36"/>
  </r>
  <r>
    <s v="Margaret W"/>
    <s v="Daily Nation "/>
    <d v="2019-07-06T00:00:00"/>
    <x v="0"/>
    <x v="306"/>
    <x v="0"/>
    <m/>
    <s v="Ernest Kibet Kemei"/>
    <x v="4"/>
    <x v="1"/>
    <x v="0"/>
    <s v="hacked"/>
    <x v="0"/>
    <x v="1"/>
    <m/>
    <m/>
    <s v="Not Provided"/>
    <m/>
    <m/>
    <s v="Kirobon farm"/>
    <x v="36"/>
  </r>
  <r>
    <s v="Phyllis Musasia"/>
    <s v="Daily Nation "/>
    <d v="2019-10-05T00:00:00"/>
    <x v="0"/>
    <x v="307"/>
    <x v="0"/>
    <m/>
    <s v="Bernard Kahira"/>
    <x v="0"/>
    <x v="0"/>
    <x v="0"/>
    <s v="burned"/>
    <x v="1"/>
    <x v="1"/>
    <m/>
    <m/>
    <s v="Not Provided"/>
    <m/>
    <m/>
    <s v="Not Provided"/>
    <x v="36"/>
  </r>
  <r>
    <s v="George Murage"/>
    <s v="The Star "/>
    <d v="2019-10-08T00:00:00"/>
    <x v="0"/>
    <x v="1"/>
    <x v="0"/>
    <m/>
    <s v="Not Provided"/>
    <x v="0"/>
    <x v="0"/>
    <x v="0"/>
    <s v="hacked"/>
    <x v="2"/>
    <x v="1"/>
    <m/>
    <m/>
    <s v="Not Provided"/>
    <m/>
    <m/>
    <s v="Kambi Turkana village"/>
    <x v="36"/>
  </r>
  <r>
    <s v="Mercy Koskey"/>
    <s v="Daily Nation "/>
    <d v="2019-11-19T00:00:00"/>
    <x v="0"/>
    <x v="308"/>
    <x v="0"/>
    <m/>
    <s v="Joseph Muchiri"/>
    <x v="1"/>
    <x v="0"/>
    <x v="2"/>
    <s v="Strangled"/>
    <x v="1"/>
    <x v="3"/>
    <m/>
    <m/>
    <s v="Not Provided"/>
    <m/>
    <m/>
    <s v="Muthiga farm"/>
    <x v="36"/>
  </r>
  <r>
    <s v="George Murage"/>
    <s v="The Star "/>
    <d v="2019-11-26T00:00:00"/>
    <x v="0"/>
    <x v="309"/>
    <x v="0"/>
    <m/>
    <s v="Not Provided"/>
    <x v="3"/>
    <x v="0"/>
    <x v="2"/>
    <s v="hacked"/>
    <x v="0"/>
    <x v="1"/>
    <m/>
    <m/>
    <s v="Not Provided"/>
    <m/>
    <m/>
    <s v="Gilgil"/>
    <x v="36"/>
  </r>
  <r>
    <s v="George Mugo"/>
    <s v="The Star "/>
    <d v="2020-01-01T00:00:00"/>
    <x v="0"/>
    <x v="310"/>
    <x v="31"/>
    <m/>
    <s v="John Ngige"/>
    <x v="0"/>
    <x v="0"/>
    <x v="2"/>
    <s v="hacked"/>
    <x v="1"/>
    <x v="1"/>
    <m/>
    <m/>
    <s v="Not Provided"/>
    <m/>
    <m/>
    <s v="Molo"/>
    <x v="36"/>
  </r>
  <r>
    <s v="Not Provided"/>
    <s v="Daily Nation "/>
    <d v="2020-06-23T00:00:00"/>
    <x v="0"/>
    <x v="311"/>
    <x v="0"/>
    <m/>
    <s v="Kennedy Otieno Oloo"/>
    <x v="0"/>
    <x v="0"/>
    <x v="0"/>
    <s v="Strangled"/>
    <x v="1"/>
    <x v="2"/>
    <d v="2020-06-23T00:00:00"/>
    <m/>
    <s v="Not Provided"/>
    <m/>
    <m/>
    <s v="Kiamunyeki"/>
    <x v="36"/>
  </r>
  <r>
    <s v="Maryanne Nyambura"/>
    <s v="Citizen Digital"/>
    <m/>
    <x v="0"/>
    <x v="312"/>
    <x v="12"/>
    <m/>
    <s v=" Kennedy Oloo"/>
    <x v="0"/>
    <x v="0"/>
    <x v="0"/>
    <s v="Strangled"/>
    <x v="35"/>
    <x v="0"/>
    <m/>
    <m/>
    <s v="Not Provided"/>
    <m/>
    <m/>
    <s v="Lanet"/>
    <x v="36"/>
  </r>
  <r>
    <s v="George Murage"/>
    <s v="The Star "/>
    <d v="2020-07-19T00:00:00"/>
    <x v="0"/>
    <x v="1"/>
    <x v="0"/>
    <m/>
    <s v="Not Provided"/>
    <x v="4"/>
    <x v="2"/>
    <x v="2"/>
    <s v="blunt force"/>
    <x v="0"/>
    <x v="1"/>
    <m/>
    <m/>
    <s v="Not Provided"/>
    <m/>
    <m/>
    <s v="Prison Bridge"/>
    <x v="36"/>
  </r>
  <r>
    <s v="Not Provided"/>
    <s v="Daily Nation "/>
    <d v="2020-07-28T00:00:00"/>
    <x v="0"/>
    <x v="1"/>
    <x v="0"/>
    <m/>
    <s v="Not Provided"/>
    <x v="0"/>
    <x v="0"/>
    <x v="0"/>
    <s v="stabbed"/>
    <x v="1"/>
    <x v="1"/>
    <m/>
    <m/>
    <s v="Not Provided"/>
    <m/>
    <m/>
    <s v="Gilgil"/>
    <x v="36"/>
  </r>
  <r>
    <s v=" Elijah Cherutich"/>
    <s v="K24 Digital"/>
    <d v="2020-08-01T00:00:00"/>
    <x v="0"/>
    <x v="313"/>
    <x v="5"/>
    <m/>
    <s v="Zacharia Njuguna Chege"/>
    <x v="3"/>
    <x v="0"/>
    <x v="0"/>
    <s v="Strangled"/>
    <x v="0"/>
    <x v="5"/>
    <m/>
    <m/>
    <s v="Not Provided"/>
    <m/>
    <m/>
    <s v="Naishi Village"/>
    <x v="36"/>
  </r>
  <r>
    <s v="George Murage"/>
    <s v="The Star "/>
    <d v="2020-11-08T00:00:00"/>
    <x v="0"/>
    <x v="1"/>
    <x v="21"/>
    <m/>
    <s v="Not Provided"/>
    <x v="3"/>
    <x v="0"/>
    <x v="0"/>
    <s v="stabbed"/>
    <x v="0"/>
    <x v="1"/>
    <m/>
    <m/>
    <s v="Not Provided"/>
    <m/>
    <m/>
    <s v="Naivasha"/>
    <x v="36"/>
  </r>
  <r>
    <s v="Patrick Vidija"/>
    <s v="The Star "/>
    <d v="2020-10-17T00:00:00"/>
    <x v="0"/>
    <x v="314"/>
    <x v="14"/>
    <m/>
    <s v="John Mwangi Githaiga"/>
    <x v="0"/>
    <x v="0"/>
    <x v="0"/>
    <s v="stabbed"/>
    <x v="1"/>
    <x v="1"/>
    <m/>
    <m/>
    <s v="Not Provided"/>
    <m/>
    <m/>
    <s v="Mathanguata area"/>
    <x v="36"/>
  </r>
  <r>
    <s v="Daniel Chege"/>
    <s v="Standard Digital "/>
    <d v="2022-05-20T00:00:00"/>
    <x v="0"/>
    <x v="315"/>
    <x v="0"/>
    <m/>
    <s v="Eric Maingi"/>
    <x v="6"/>
    <x v="2"/>
    <x v="0"/>
    <s v="Strangled"/>
    <x v="30"/>
    <x v="2"/>
    <d v="2020-05-20T00:00:00"/>
    <m/>
    <s v="Not Provided"/>
    <m/>
    <m/>
    <s v="Egerton University"/>
    <x v="36"/>
  </r>
  <r>
    <s v="George Murage"/>
    <s v="The Star "/>
    <d v="2021-02-01T00:00:00"/>
    <x v="0"/>
    <x v="316"/>
    <x v="9"/>
    <m/>
    <s v="Not Provided"/>
    <x v="3"/>
    <x v="0"/>
    <x v="0"/>
    <s v="hacked"/>
    <x v="2"/>
    <x v="1"/>
    <m/>
    <m/>
    <s v="Not Provided"/>
    <m/>
    <m/>
    <s v="Naivasha"/>
    <x v="36"/>
  </r>
  <r>
    <s v="Loise Macharia"/>
    <s v="The Star "/>
    <d v="2020-12-31T00:00:00"/>
    <x v="0"/>
    <x v="1"/>
    <x v="13"/>
    <m/>
    <s v="Joseph Kipkurui"/>
    <x v="3"/>
    <x v="0"/>
    <x v="0"/>
    <s v="stabbed"/>
    <x v="1"/>
    <x v="2"/>
    <d v="2021-01-04T00:00:00"/>
    <m/>
    <s v="Not Provided"/>
    <m/>
    <m/>
    <s v="Huruma east"/>
    <x v="36"/>
  </r>
  <r>
    <s v="By _x000a_ John Njoroge"/>
    <s v="The Nation"/>
    <d v="2021-01-31T00:00:00"/>
    <x v="0"/>
    <x v="208"/>
    <x v="58"/>
    <m/>
    <s v="Not Provided"/>
    <x v="5"/>
    <x v="1"/>
    <x v="0"/>
    <s v="stabbed"/>
    <x v="7"/>
    <x v="1"/>
    <m/>
    <m/>
    <s v="Not Provided"/>
    <m/>
    <m/>
    <s v="Chogocho village"/>
    <x v="36"/>
  </r>
  <r>
    <s v="George Murage"/>
    <s v="The Star "/>
    <d v="2021-04-19T00:00:00"/>
    <x v="0"/>
    <x v="317"/>
    <x v="40"/>
    <m/>
    <s v="Charles Mwaura"/>
    <x v="3"/>
    <x v="0"/>
    <x v="0"/>
    <s v="Strangled"/>
    <x v="2"/>
    <x v="1"/>
    <m/>
    <m/>
    <s v="Not Provided"/>
    <m/>
    <m/>
    <s v="Kayole estate Naivasha"/>
    <x v="36"/>
  </r>
  <r>
    <s v="George Murage"/>
    <s v="The Star "/>
    <d v="2021-04-05T00:00:00"/>
    <x v="0"/>
    <x v="1"/>
    <x v="21"/>
    <m/>
    <s v="Not Provided"/>
    <x v="3"/>
    <x v="0"/>
    <x v="0"/>
    <s v="hacked"/>
    <x v="0"/>
    <x v="1"/>
    <m/>
    <m/>
    <s v="Not Provided"/>
    <m/>
    <m/>
    <s v="Kosovo village Naivasha"/>
    <x v="36"/>
  </r>
  <r>
    <s v="Antony Gitonga"/>
    <s v="Standard Digital "/>
    <d v="2021-05-06T00:00:00"/>
    <x v="0"/>
    <x v="57"/>
    <x v="24"/>
    <d v="2021-05-06T00:00:00"/>
    <s v="Not Provided"/>
    <x v="3"/>
    <x v="0"/>
    <x v="2"/>
    <s v="blunt force"/>
    <x v="0"/>
    <x v="1"/>
    <m/>
    <m/>
    <s v="Not Provided"/>
    <m/>
    <m/>
    <s v="Naivasha"/>
    <x v="36"/>
  </r>
  <r>
    <s v="George Murage "/>
    <s v="The Star "/>
    <d v="2021-06-01T00:00:00"/>
    <x v="0"/>
    <x v="318"/>
    <x v="0"/>
    <d v="2021-05-31T00:00:00"/>
    <s v="Not Provided"/>
    <x v="0"/>
    <x v="0"/>
    <x v="0"/>
    <s v="stabbed"/>
    <x v="8"/>
    <x v="1"/>
    <m/>
    <m/>
    <s v="Not Provided"/>
    <m/>
    <m/>
    <s v="Maella Naivasha"/>
    <x v="36"/>
  </r>
  <r>
    <s v="Kiprotich Kimetto"/>
    <s v="Citizen Digital"/>
    <d v="2021-07-31T00:00:00"/>
    <x v="0"/>
    <x v="1"/>
    <x v="0"/>
    <m/>
    <s v="Not Provided"/>
    <x v="0"/>
    <x v="0"/>
    <x v="0"/>
    <s v="stabbed"/>
    <x v="2"/>
    <x v="1"/>
    <m/>
    <m/>
    <s v="Not Provided"/>
    <m/>
    <m/>
    <s v="kuresoi"/>
    <x v="36"/>
  </r>
  <r>
    <s v="Cyrus Ombati"/>
    <s v="The Star "/>
    <d v="2021-08-23T00:00:00"/>
    <x v="0"/>
    <x v="319"/>
    <x v="30"/>
    <m/>
    <s v="Const. Bernard Sivo"/>
    <x v="3"/>
    <x v="0"/>
    <x v="2"/>
    <s v="shot"/>
    <x v="0"/>
    <x v="3"/>
    <m/>
    <m/>
    <s v="Not Provided"/>
    <m/>
    <m/>
    <s v="Njoro subcounty hospital"/>
    <x v="36"/>
  </r>
  <r>
    <s v="Loise Macharia"/>
    <s v="The Star "/>
    <d v="2021-09-01T00:00:00"/>
    <x v="0"/>
    <x v="320"/>
    <x v="10"/>
    <m/>
    <s v="Moses Leparani"/>
    <x v="3"/>
    <x v="0"/>
    <x v="0"/>
    <s v="blunt force"/>
    <x v="1"/>
    <x v="1"/>
    <m/>
    <m/>
    <s v="Not Provided"/>
    <m/>
    <m/>
    <s v="Lake view"/>
    <x v="36"/>
  </r>
  <r>
    <s v="Daniel Chege"/>
    <s v="Standard Digital "/>
    <d v="2021-10-23T00:00:00"/>
    <x v="0"/>
    <x v="321"/>
    <x v="0"/>
    <m/>
    <s v="Paul Otieno"/>
    <x v="0"/>
    <x v="0"/>
    <x v="0"/>
    <s v="stabbed"/>
    <x v="1"/>
    <x v="2"/>
    <d v="2021-11-03T00:00:00"/>
    <m/>
    <s v="Not Provided"/>
    <m/>
    <m/>
    <s v="Stadium flats"/>
    <x v="36"/>
  </r>
  <r>
    <s v="Kennedy Gachuhi"/>
    <s v="Standard Digital "/>
    <d v="2021-10-06T00:00:00"/>
    <x v="0"/>
    <x v="322"/>
    <x v="3"/>
    <m/>
    <s v="Paul Ochieng"/>
    <x v="0"/>
    <x v="0"/>
    <x v="0"/>
    <s v="stabbed"/>
    <x v="1"/>
    <x v="1"/>
    <m/>
    <m/>
    <s v="Not Provided"/>
    <m/>
    <m/>
    <s v="Afraha"/>
    <x v="36"/>
  </r>
  <r>
    <s v="Antony Gitonga"/>
    <s v="Standard Digital "/>
    <d v="2021-12-16T00:00:00"/>
    <x v="0"/>
    <x v="1"/>
    <x v="0"/>
    <m/>
    <s v="Not Provided"/>
    <x v="3"/>
    <x v="0"/>
    <x v="0"/>
    <s v="stabbed"/>
    <x v="2"/>
    <x v="1"/>
    <m/>
    <m/>
    <s v="Not Provided"/>
    <m/>
    <m/>
    <s v="Kasarani estate Naivasha"/>
    <x v="36"/>
  </r>
  <r>
    <s v="Cyrus Ombati"/>
    <s v="The Star "/>
    <d v="2022-01-05T00:00:00"/>
    <x v="0"/>
    <x v="1"/>
    <x v="0"/>
    <m/>
    <s v="Mark Njoroge"/>
    <x v="3"/>
    <x v="0"/>
    <x v="0"/>
    <s v="hacked"/>
    <x v="0"/>
    <x v="1"/>
    <m/>
    <m/>
    <s v="Not Provided"/>
    <m/>
    <m/>
    <s v="Muthaiga village"/>
    <x v="36"/>
  </r>
  <r>
    <s v="Kennedy Gachuhi"/>
    <s v="Standard Digital "/>
    <d v="2022-01-08T00:00:00"/>
    <x v="0"/>
    <x v="323"/>
    <x v="24"/>
    <m/>
    <s v="Not Provided"/>
    <x v="0"/>
    <x v="0"/>
    <x v="0"/>
    <s v="burned"/>
    <x v="1"/>
    <x v="1"/>
    <m/>
    <m/>
    <s v="Not Provided"/>
    <m/>
    <m/>
    <s v="Molo"/>
    <x v="36"/>
  </r>
  <r>
    <s v="Perpetua Etyang"/>
    <s v="The Star "/>
    <d v="2022-10-13T00:00:00"/>
    <x v="0"/>
    <x v="324"/>
    <x v="0"/>
    <m/>
    <s v="Not Provided"/>
    <x v="0"/>
    <x v="0"/>
    <x v="2"/>
    <s v="stabbed"/>
    <x v="8"/>
    <x v="1"/>
    <m/>
    <m/>
    <s v="Not Provided"/>
    <m/>
    <m/>
    <s v="Mai Mahiu"/>
    <x v="36"/>
  </r>
  <r>
    <s v="Loise Macharia"/>
    <s v="The Star "/>
    <d v="2022-12-14T00:00:00"/>
    <x v="0"/>
    <x v="1"/>
    <x v="40"/>
    <m/>
    <s v="Not Provided"/>
    <x v="0"/>
    <x v="0"/>
    <x v="0"/>
    <s v="blunt force"/>
    <x v="1"/>
    <x v="1"/>
    <m/>
    <m/>
    <s v="Not Provided"/>
    <m/>
    <m/>
    <s v="Kiambogo farm"/>
    <x v="36"/>
  </r>
  <r>
    <s v=" Mercy Koskei"/>
    <s v="Daily Nation "/>
    <d v="2023-03-08T00:00:00"/>
    <x v="0"/>
    <x v="325"/>
    <x v="59"/>
    <d v="2023-03-07T00:00:00"/>
    <s v="Amos Njuguna"/>
    <x v="0"/>
    <x v="0"/>
    <x v="0"/>
    <s v="stabbed"/>
    <x v="0"/>
    <x v="1"/>
    <m/>
    <m/>
    <s v="Not Provided"/>
    <m/>
    <m/>
    <s v="Zakayos estate"/>
    <x v="36"/>
  </r>
  <r>
    <s v="Daniel Chege"/>
    <s v="The Standard (kenya)"/>
    <d v="2023-09-27T00:00:00"/>
    <x v="0"/>
    <x v="326"/>
    <x v="60"/>
    <m/>
    <s v="unknown assailant"/>
    <x v="4"/>
    <x v="2"/>
    <x v="2"/>
    <s v="Not Provided "/>
    <x v="0"/>
    <x v="1"/>
    <m/>
    <m/>
    <s v="Not Provided"/>
    <m/>
    <m/>
    <s v="Kasambara Village"/>
    <x v="36"/>
  </r>
  <r>
    <s v="Vincent Kejitan"/>
    <s v="Standard digital"/>
    <d v="2021-02-10T00:00:00"/>
    <x v="0"/>
    <x v="1"/>
    <x v="55"/>
    <m/>
    <s v="Wilson Koech"/>
    <x v="0"/>
    <x v="1"/>
    <x v="0"/>
    <s v="other"/>
    <x v="0"/>
    <x v="0"/>
    <m/>
    <m/>
    <s v="Not Provided"/>
    <m/>
    <m/>
    <s v="Kaptimom Village"/>
    <x v="36"/>
  </r>
  <r>
    <s v="Rael Jelimo"/>
    <s v="Standard Digital "/>
    <d v="2018-08-02T00:00:00"/>
    <x v="0"/>
    <x v="327"/>
    <x v="40"/>
    <m/>
    <s v="Wilfred Sang"/>
    <x v="0"/>
    <x v="0"/>
    <x v="0"/>
    <s v="hacked"/>
    <x v="1"/>
    <x v="0"/>
    <m/>
    <m/>
    <s v="Not Provided"/>
    <m/>
    <m/>
    <s v="Kiptaragor area"/>
    <x v="37"/>
  </r>
  <r>
    <s v="Mathews Ndanyi"/>
    <s v="The Star "/>
    <d v="2019-01-14T00:00:00"/>
    <x v="0"/>
    <x v="328"/>
    <x v="0"/>
    <m/>
    <s v="Not Provided"/>
    <x v="0"/>
    <x v="0"/>
    <x v="0"/>
    <s v="hacked"/>
    <x v="1"/>
    <x v="1"/>
    <m/>
    <m/>
    <s v="Not Provided"/>
    <m/>
    <m/>
    <s v="Kapkatete village"/>
    <x v="37"/>
  </r>
  <r>
    <s v="Barry Salil"/>
    <s v="The Star "/>
    <d v="2019-02-18T00:00:00"/>
    <x v="0"/>
    <x v="1"/>
    <x v="23"/>
    <m/>
    <s v="Not Provided"/>
    <x v="4"/>
    <x v="1"/>
    <x v="3"/>
    <s v="stabbed"/>
    <x v="30"/>
    <x v="1"/>
    <m/>
    <m/>
    <s v="Not Provided"/>
    <m/>
    <m/>
    <s v="Kaiboi Technical institute"/>
    <x v="37"/>
  </r>
  <r>
    <s v="Not Provided"/>
    <s v="Standard Media"/>
    <m/>
    <x v="0"/>
    <x v="329"/>
    <x v="0"/>
    <m/>
    <s v="Not Provided"/>
    <x v="3"/>
    <x v="1"/>
    <x v="1"/>
    <s v="Not Provided "/>
    <x v="0"/>
    <x v="0"/>
    <m/>
    <m/>
    <s v="Not Provided"/>
    <m/>
    <m/>
    <s v="Nandi County"/>
    <x v="37"/>
  </r>
  <r>
    <s v="Edward Kosut"/>
    <s v="Standard digital"/>
    <d v="2021-10-18T00:00:00"/>
    <x v="0"/>
    <x v="330"/>
    <x v="31"/>
    <m/>
    <s v="Aron Kiplagat"/>
    <x v="3"/>
    <x v="1"/>
    <x v="0"/>
    <s v="stabbed"/>
    <x v="0"/>
    <x v="0"/>
    <m/>
    <m/>
    <s v="Not Provided"/>
    <m/>
    <m/>
    <s v="Kosoywa estate"/>
    <x v="37"/>
  </r>
  <r>
    <s v="Barry Salil"/>
    <s v="The Star "/>
    <d v="2022-05-23T00:00:00"/>
    <x v="0"/>
    <x v="1"/>
    <x v="40"/>
    <d v="2022-05-23T00:00:00"/>
    <s v="Naftali Avendi"/>
    <x v="3"/>
    <x v="0"/>
    <x v="0"/>
    <s v="Not Provided "/>
    <x v="0"/>
    <x v="1"/>
    <m/>
    <m/>
    <s v="Not Provided"/>
    <m/>
    <m/>
    <s v="Kamoron Village"/>
    <x v="37"/>
  </r>
  <r>
    <s v="Winstone Chiseremi"/>
    <s v="People Daily"/>
    <d v="2023-09-08T00:00:00"/>
    <x v="0"/>
    <x v="331"/>
    <x v="51"/>
    <m/>
    <s v="Benjamin Serem"/>
    <x v="0"/>
    <x v="0"/>
    <x v="2"/>
    <s v="blunt force"/>
    <x v="36"/>
    <x v="1"/>
    <m/>
    <m/>
    <s v="Not Provided"/>
    <m/>
    <m/>
    <s v="Sang'alo"/>
    <x v="37"/>
  </r>
  <r>
    <s v="Not Provided"/>
    <s v="Not Provided"/>
    <d v="2022-04-07T00:00:00"/>
    <x v="0"/>
    <x v="332"/>
    <x v="6"/>
    <m/>
    <s v="Philip Lokoruen"/>
    <x v="0"/>
    <x v="1"/>
    <x v="0"/>
    <s v="Strangled"/>
    <x v="0"/>
    <x v="0"/>
    <m/>
    <m/>
    <s v="Not Provided"/>
    <m/>
    <m/>
    <s v="Ndalat Market"/>
    <x v="37"/>
  </r>
  <r>
    <s v="Mwangi Ndirangu"/>
    <s v="Daily Nation "/>
    <d v="2023-01-11T00:00:00"/>
    <x v="0"/>
    <x v="333"/>
    <x v="61"/>
    <m/>
    <s v="Not Provided"/>
    <x v="4"/>
    <x v="2"/>
    <x v="4"/>
    <s v="burned"/>
    <x v="0"/>
    <x v="1"/>
    <m/>
    <m/>
    <s v="Not Provided"/>
    <m/>
    <m/>
    <s v="Kabiru village"/>
    <x v="38"/>
  </r>
  <r>
    <s v="Gitonga Marete"/>
    <s v="Daily Nation "/>
    <d v="2023-05-05T00:00:00"/>
    <x v="0"/>
    <x v="334"/>
    <x v="3"/>
    <m/>
    <s v="Not Provided"/>
    <x v="4"/>
    <x v="1"/>
    <x v="4"/>
    <s v="sexual assault"/>
    <x v="0"/>
    <x v="1"/>
    <m/>
    <m/>
    <s v="Not Provided"/>
    <m/>
    <m/>
    <s v="Bush near Maasai Mara University"/>
    <x v="39"/>
  </r>
  <r>
    <s v="Stanley Ogwae"/>
    <s v="Standard Digital "/>
    <d v="2018-10-05T00:00:00"/>
    <x v="0"/>
    <x v="1"/>
    <x v="0"/>
    <m/>
    <s v="Samuel Otieno"/>
    <x v="0"/>
    <x v="0"/>
    <x v="0"/>
    <s v="hacked"/>
    <x v="1"/>
    <x v="2"/>
    <d v="2018-10-03T00:00:00"/>
    <m/>
    <s v="Not Provided"/>
    <m/>
    <m/>
    <s v="Bonyaiguba"/>
    <x v="40"/>
  </r>
  <r>
    <s v="Alvine Ratemo"/>
    <s v="The Star "/>
    <d v="2018-10-14T00:00:00"/>
    <x v="0"/>
    <x v="335"/>
    <x v="5"/>
    <m/>
    <s v="Not Provided"/>
    <x v="0"/>
    <x v="0"/>
    <x v="0"/>
    <s v="Not Provided "/>
    <x v="1"/>
    <x v="1"/>
    <m/>
    <m/>
    <s v="Not Provided"/>
    <m/>
    <m/>
    <s v="Bomabacho village"/>
    <x v="40"/>
  </r>
  <r>
    <s v="James Ongwae"/>
    <s v="Standard digital"/>
    <d v="2020-01-26T00:00:00"/>
    <x v="0"/>
    <x v="336"/>
    <x v="58"/>
    <m/>
    <s v="Not Provided"/>
    <x v="4"/>
    <x v="2"/>
    <x v="2"/>
    <s v="blunt force"/>
    <x v="0"/>
    <x v="0"/>
    <m/>
    <m/>
    <s v="Not Provided"/>
    <m/>
    <m/>
    <s v="Bundo in Bogichora"/>
    <x v="40"/>
  </r>
  <r>
    <s v="Ndichu Wainaina"/>
    <s v="The Star "/>
    <d v="2017-11-20T00:00:00"/>
    <x v="0"/>
    <x v="337"/>
    <x v="14"/>
    <m/>
    <s v="Samuel Gicheha"/>
    <x v="0"/>
    <x v="0"/>
    <x v="2"/>
    <s v="blunt force"/>
    <x v="2"/>
    <x v="1"/>
    <d v="2017-11-20T00:00:00"/>
    <m/>
    <s v="Not Provided"/>
    <m/>
    <m/>
    <s v="Ol Kalou- Gilgil road"/>
    <x v="41"/>
  </r>
  <r>
    <s v="Ndichu Wainaina"/>
    <s v="The Star "/>
    <d v="2018-04-26T00:00:00"/>
    <x v="0"/>
    <x v="1"/>
    <x v="21"/>
    <m/>
    <s v="Not Provided"/>
    <x v="4"/>
    <x v="2"/>
    <x v="4"/>
    <s v="stabbed"/>
    <x v="0"/>
    <x v="1"/>
    <m/>
    <m/>
    <s v="Not Provided"/>
    <m/>
    <m/>
    <s v="Kipipiri forest"/>
    <x v="41"/>
  </r>
  <r>
    <s v="Waikwa Maina"/>
    <s v="Daily Nation "/>
    <d v="2018-11-12T00:00:00"/>
    <x v="0"/>
    <x v="338"/>
    <x v="7"/>
    <m/>
    <s v="Not Provided"/>
    <x v="4"/>
    <x v="1"/>
    <x v="0"/>
    <s v="stabbed"/>
    <x v="5"/>
    <x v="1"/>
    <m/>
    <m/>
    <s v="Not Provided"/>
    <m/>
    <m/>
    <s v="Matura village"/>
    <x v="41"/>
  </r>
  <r>
    <s v="Steve Njuguna"/>
    <s v="Daily Nation "/>
    <d v="2018-12-16T00:00:00"/>
    <x v="0"/>
    <x v="1"/>
    <x v="52"/>
    <m/>
    <s v="Not Provided"/>
    <x v="4"/>
    <x v="1"/>
    <x v="0"/>
    <s v="Strangled"/>
    <x v="0"/>
    <x v="1"/>
    <m/>
    <m/>
    <s v="Not Provided"/>
    <m/>
    <m/>
    <s v="Maina Slums"/>
    <x v="41"/>
  </r>
  <r>
    <s v="Ndichu Wainaina"/>
    <s v="The Star "/>
    <d v="2019-08-29T00:00:00"/>
    <x v="0"/>
    <x v="339"/>
    <x v="0"/>
    <m/>
    <s v="Peter Ng'ang'a"/>
    <x v="0"/>
    <x v="0"/>
    <x v="0"/>
    <s v="hacked"/>
    <x v="1"/>
    <x v="3"/>
    <m/>
    <m/>
    <s v="Not Provided"/>
    <m/>
    <m/>
    <s v="Lereshwa village"/>
    <x v="41"/>
  </r>
  <r>
    <s v="Waikwa Maina"/>
    <s v="Daily Nation "/>
    <d v="2019-09-27T00:00:00"/>
    <x v="0"/>
    <x v="340"/>
    <x v="0"/>
    <m/>
    <s v="Not Provided"/>
    <x v="4"/>
    <x v="1"/>
    <x v="0"/>
    <s v="stabbed"/>
    <x v="2"/>
    <x v="1"/>
    <m/>
    <m/>
    <s v="Not Provided"/>
    <m/>
    <m/>
    <s v="Rurii village"/>
    <x v="41"/>
  </r>
  <r>
    <s v="Ndichu Wainaina"/>
    <s v="The Star "/>
    <d v="2020-01-22T00:00:00"/>
    <x v="0"/>
    <x v="341"/>
    <x v="23"/>
    <m/>
    <s v="Allan Tiui"/>
    <x v="2"/>
    <x v="0"/>
    <x v="0"/>
    <s v="stabbed"/>
    <x v="8"/>
    <x v="1"/>
    <m/>
    <m/>
    <s v="Not Provided"/>
    <m/>
    <m/>
    <s v="Kambi Ndoro"/>
    <x v="41"/>
  </r>
  <r>
    <s v="Ndichu Wainaina"/>
    <s v="The Star "/>
    <d v="2020-04-27T00:00:00"/>
    <x v="0"/>
    <x v="342"/>
    <x v="40"/>
    <m/>
    <s v="Not Provided"/>
    <x v="3"/>
    <x v="0"/>
    <x v="0"/>
    <s v="stabbed"/>
    <x v="1"/>
    <x v="1"/>
    <m/>
    <m/>
    <s v="Not Provided"/>
    <m/>
    <m/>
    <s v="Karagoini village"/>
    <x v="41"/>
  </r>
  <r>
    <s v="Not Provided"/>
    <s v="Daily Nation "/>
    <d v="2020-07-29T00:00:00"/>
    <x v="0"/>
    <x v="343"/>
    <x v="43"/>
    <m/>
    <s v="Moses Njogu"/>
    <x v="0"/>
    <x v="0"/>
    <x v="0"/>
    <s v="blunt force"/>
    <x v="1"/>
    <x v="1"/>
    <m/>
    <m/>
    <s v="Not Provided"/>
    <m/>
    <m/>
    <s v="Kiharo village"/>
    <x v="41"/>
  </r>
  <r>
    <s v="Nicholas Komu"/>
    <s v="Nairobi News"/>
    <d v="2017-08-20T00:00:00"/>
    <x v="0"/>
    <x v="344"/>
    <x v="23"/>
    <m/>
    <s v="Dennis Kirimi"/>
    <x v="3"/>
    <x v="0"/>
    <x v="2"/>
    <s v="Not Provided "/>
    <x v="0"/>
    <x v="1"/>
    <m/>
    <m/>
    <s v="Not Provided"/>
    <m/>
    <m/>
    <s v="Mt. Kenya"/>
    <x v="42"/>
  </r>
  <r>
    <s v="Nicholas Komu"/>
    <s v="Nairobi News"/>
    <d v="2017-02-13T00:00:00"/>
    <x v="0"/>
    <x v="345"/>
    <x v="10"/>
    <m/>
    <s v="Not Provided"/>
    <x v="3"/>
    <x v="0"/>
    <x v="2"/>
    <s v="blunt force"/>
    <x v="2"/>
    <x v="1"/>
    <m/>
    <m/>
    <s v="Not Provided"/>
    <m/>
    <m/>
    <s v="Karatina town"/>
    <x v="42"/>
  </r>
  <r>
    <s v="Pkemoi Ng'Eno"/>
    <s v="Standard digital"/>
    <d v="2017-09-02T00:00:00"/>
    <x v="0"/>
    <x v="1"/>
    <x v="0"/>
    <m/>
    <s v="Alex Karue Wahome"/>
    <x v="0"/>
    <x v="0"/>
    <x v="0"/>
    <s v="stabbed"/>
    <x v="1"/>
    <x v="2"/>
    <m/>
    <d v="2017-08-03T00:00:00"/>
    <s v="guilty"/>
    <m/>
    <m/>
    <s v="Kiambira Trading Center"/>
    <x v="42"/>
  </r>
  <r>
    <s v="Nicholas Komu"/>
    <s v="Daily Nation "/>
    <d v="2018-01-31T00:00:00"/>
    <x v="0"/>
    <x v="346"/>
    <x v="23"/>
    <m/>
    <s v="David Maina (deceased)"/>
    <x v="0"/>
    <x v="0"/>
    <x v="0"/>
    <s v="burned"/>
    <x v="1"/>
    <x v="1"/>
    <m/>
    <m/>
    <s v="Not Provided"/>
    <m/>
    <m/>
    <s v="Kieni"/>
    <x v="42"/>
  </r>
  <r>
    <s v="People Daily"/>
    <s v="MediaMax Network"/>
    <d v="2018-07-23T00:00:00"/>
    <x v="0"/>
    <x v="1"/>
    <x v="0"/>
    <m/>
    <s v="Seth Mwaniki"/>
    <x v="0"/>
    <x v="0"/>
    <x v="0"/>
    <s v="hacked"/>
    <x v="1"/>
    <x v="1"/>
    <m/>
    <m/>
    <s v="Not Provided"/>
    <m/>
    <m/>
    <s v="Witima village"/>
    <x v="42"/>
  </r>
  <r>
    <s v="Allan Mungai And Darlington Manyara"/>
    <s v="Standard Digital "/>
    <d v="2018-07-24T00:00:00"/>
    <x v="0"/>
    <x v="347"/>
    <x v="0"/>
    <m/>
    <s v="Mr. Wakiwa"/>
    <x v="0"/>
    <x v="0"/>
    <x v="0"/>
    <s v="stabbed"/>
    <x v="1"/>
    <x v="1"/>
    <m/>
    <m/>
    <s v="Not Provided"/>
    <m/>
    <m/>
    <s v="Gathundia Othaya"/>
    <x v="42"/>
  </r>
  <r>
    <s v="Nicholas Komu"/>
    <s v="Daily Nation "/>
    <d v="2018-10-25T00:00:00"/>
    <x v="0"/>
    <x v="348"/>
    <x v="0"/>
    <m/>
    <s v="Not Provided"/>
    <x v="6"/>
    <x v="2"/>
    <x v="1"/>
    <s v="stabbed"/>
    <x v="0"/>
    <x v="1"/>
    <m/>
    <m/>
    <s v="Not Provided"/>
    <m/>
    <m/>
    <s v="Nyeri town"/>
    <x v="42"/>
  </r>
  <r>
    <s v="Nicholas Komu"/>
    <s v="Daily Nation "/>
    <d v="2019-04-15T00:00:00"/>
    <x v="0"/>
    <x v="1"/>
    <x v="1"/>
    <m/>
    <s v="Not Provided"/>
    <x v="1"/>
    <x v="0"/>
    <x v="0"/>
    <s v="stabbed"/>
    <x v="1"/>
    <x v="1"/>
    <m/>
    <m/>
    <s v="Not Provided"/>
    <m/>
    <m/>
    <s v="Nyaribo"/>
    <x v="42"/>
  </r>
  <r>
    <s v="Not Provided"/>
    <s v="Standard Media"/>
    <m/>
    <x v="0"/>
    <x v="349"/>
    <x v="1"/>
    <m/>
    <s v="Not Provided"/>
    <x v="0"/>
    <x v="1"/>
    <x v="1"/>
    <s v="Not Provided "/>
    <x v="0"/>
    <x v="0"/>
    <m/>
    <m/>
    <s v="Not Provided"/>
    <m/>
    <m/>
    <s v="Nyeri County"/>
    <x v="42"/>
  </r>
  <r>
    <s v="Stephen Munyiri"/>
    <s v="Daily Nation "/>
    <d v="2019-12-12T00:00:00"/>
    <x v="0"/>
    <x v="350"/>
    <x v="0"/>
    <m/>
    <s v="Simon Nderitu"/>
    <x v="0"/>
    <x v="0"/>
    <x v="0"/>
    <s v="stabbed"/>
    <x v="1"/>
    <x v="1"/>
    <m/>
    <m/>
    <s v="Not Provided"/>
    <m/>
    <m/>
    <s v="Karatina town"/>
    <x v="42"/>
  </r>
  <r>
    <s v="Not Provided"/>
    <s v="Daily Nation "/>
    <d v="2020-05-30T00:00:00"/>
    <x v="0"/>
    <x v="351"/>
    <x v="0"/>
    <d v="2020-05-25T00:00:00"/>
    <s v="MCA Eric Mwangi"/>
    <x v="0"/>
    <x v="0"/>
    <x v="2"/>
    <s v="Not Provided "/>
    <x v="0"/>
    <x v="1"/>
    <m/>
    <m/>
    <s v="Not Provided"/>
    <m/>
    <m/>
    <s v="Hohwe dam"/>
    <x v="42"/>
  </r>
  <r>
    <s v="Stephen Munyiri"/>
    <s v="Not Provided"/>
    <d v="2022-05-26T00:00:00"/>
    <x v="0"/>
    <x v="352"/>
    <x v="0"/>
    <d v="2022-05-18T00:00:00"/>
    <s v="Stephen Muriithi"/>
    <x v="0"/>
    <x v="1"/>
    <x v="0"/>
    <s v="stabbed"/>
    <x v="0"/>
    <x v="0"/>
    <m/>
    <m/>
    <s v="Not Provided"/>
    <m/>
    <m/>
    <s v="Mathira"/>
    <x v="42"/>
  </r>
  <r>
    <s v=" Loise Wambugu"/>
    <s v="K24 Digital"/>
    <d v="2023-05-29T00:00:00"/>
    <x v="0"/>
    <x v="353"/>
    <x v="17"/>
    <d v="2023-05-29T00:00:00"/>
    <s v=" Dedan Gachoka"/>
    <x v="0"/>
    <x v="0"/>
    <x v="0"/>
    <s v="blunt force"/>
    <x v="0"/>
    <x v="5"/>
    <m/>
    <m/>
    <s v="Not Provided"/>
    <m/>
    <m/>
    <s v="Gathugu village in Mathira."/>
    <x v="42"/>
  </r>
  <r>
    <s v="Mercy Mwende"/>
    <s v="Daily Nation "/>
    <d v="2023-09-05T00:00:00"/>
    <x v="0"/>
    <x v="354"/>
    <x v="39"/>
    <m/>
    <s v="Unknown assailant"/>
    <x v="4"/>
    <x v="1"/>
    <x v="2"/>
    <s v="Not Provided "/>
    <x v="0"/>
    <x v="1"/>
    <m/>
    <m/>
    <s v="Not Provided"/>
    <m/>
    <m/>
    <s v="Kamahohu in Tetu"/>
    <x v="42"/>
  </r>
  <r>
    <s v="Isaiah Gwengi"/>
    <s v="Standard Digital "/>
    <d v="2016-12-15T00:00:00"/>
    <x v="0"/>
    <x v="355"/>
    <x v="0"/>
    <m/>
    <s v="Elisha Ogolla a priest"/>
    <x v="3"/>
    <x v="0"/>
    <x v="0"/>
    <s v="hacked"/>
    <x v="1"/>
    <x v="1"/>
    <m/>
    <m/>
    <s v="Not Provided"/>
    <m/>
    <m/>
    <s v="Mageta Island"/>
    <x v="43"/>
  </r>
  <r>
    <s v="Lameck Baraza"/>
    <s v="The Star "/>
    <d v="2017-12-09T00:00:00"/>
    <x v="0"/>
    <x v="356"/>
    <x v="14"/>
    <m/>
    <s v="Collins Pluoch Ogweno"/>
    <x v="3"/>
    <x v="0"/>
    <x v="0"/>
    <s v="hacked"/>
    <x v="1"/>
    <x v="1"/>
    <m/>
    <m/>
    <s v="Not Provided"/>
    <m/>
    <m/>
    <s v="Bondo town"/>
    <x v="43"/>
  </r>
  <r>
    <s v="Nelcon Odhiambo"/>
    <s v="Daily Nation "/>
    <d v="2017-12-26T00:00:00"/>
    <x v="0"/>
    <x v="357"/>
    <x v="5"/>
    <m/>
    <s v="Not Provided"/>
    <x v="4"/>
    <x v="1"/>
    <x v="2"/>
    <s v="sexual assault"/>
    <x v="0"/>
    <x v="1"/>
    <m/>
    <m/>
    <s v="Not Provided"/>
    <m/>
    <m/>
    <s v="Hawinga village"/>
    <x v="43"/>
  </r>
  <r>
    <s v="Not Provided"/>
    <s v="Citizen TV"/>
    <m/>
    <x v="0"/>
    <x v="358"/>
    <x v="40"/>
    <m/>
    <s v="Not Provided"/>
    <x v="0"/>
    <x v="1"/>
    <x v="1"/>
    <s v="Not Provided "/>
    <x v="0"/>
    <x v="0"/>
    <m/>
    <m/>
    <s v="Not Provided"/>
    <m/>
    <m/>
    <s v="Siaya County"/>
    <x v="43"/>
  </r>
  <r>
    <s v="Olivia Odhiambo"/>
    <s v="Standard digital"/>
    <d v="2020-01-04T00:00:00"/>
    <x v="0"/>
    <x v="359"/>
    <x v="51"/>
    <m/>
    <s v="Not Provided"/>
    <x v="0"/>
    <x v="0"/>
    <x v="0"/>
    <s v="hacked"/>
    <x v="37"/>
    <x v="0"/>
    <m/>
    <m/>
    <s v="Not Provided"/>
    <m/>
    <m/>
    <s v="Acheo village of Kogelo"/>
    <x v="43"/>
  </r>
  <r>
    <s v="Olivia Odhiambo"/>
    <s v="Standard digital"/>
    <d v="2020-03-01T00:00:00"/>
    <x v="0"/>
    <x v="360"/>
    <x v="62"/>
    <m/>
    <s v="Not Provided"/>
    <x v="2"/>
    <x v="0"/>
    <x v="0"/>
    <s v="stabbed"/>
    <x v="38"/>
    <x v="0"/>
    <m/>
    <m/>
    <s v="Not Provided"/>
    <m/>
    <m/>
    <s v="Sinderma village"/>
    <x v="43"/>
  </r>
  <r>
    <s v="George Amolo"/>
    <s v="Citizen Digital"/>
    <d v="2021-08-26T00:00:00"/>
    <x v="0"/>
    <x v="361"/>
    <x v="3"/>
    <m/>
    <s v="Mohamed Oloo"/>
    <x v="3"/>
    <x v="0"/>
    <x v="0"/>
    <s v="Strangled"/>
    <x v="2"/>
    <x v="1"/>
    <m/>
    <m/>
    <s v="Not Provided"/>
    <m/>
    <m/>
    <s v="Wi-Omino village"/>
    <x v="43"/>
  </r>
  <r>
    <s v="Annette Wambulwa"/>
    <s v="The Star "/>
    <d v="2023-01-09T00:00:00"/>
    <x v="0"/>
    <x v="362"/>
    <x v="0"/>
    <m/>
    <s v="Joshua Agano"/>
    <x v="0"/>
    <x v="0"/>
    <x v="0"/>
    <s v="blunt force"/>
    <x v="20"/>
    <x v="0"/>
    <m/>
    <d v="2023-01-09T00:00:00"/>
    <s v="guilty"/>
    <n v="3"/>
    <n v="123"/>
    <s v="Kanyibok Village"/>
    <x v="43"/>
  </r>
  <r>
    <s v=" Kassim Adinasi"/>
    <s v="Daily Nation "/>
    <d v="2023-02-13T00:00:00"/>
    <x v="0"/>
    <x v="363"/>
    <x v="1"/>
    <m/>
    <s v="Collins Oduor Onyango"/>
    <x v="0"/>
    <x v="0"/>
    <x v="2"/>
    <s v="blunt force"/>
    <x v="1"/>
    <x v="1"/>
    <m/>
    <m/>
    <s v="Not Provided"/>
    <m/>
    <m/>
    <s v="Ochieng B village in Ligega sub-location"/>
    <x v="43"/>
  </r>
  <r>
    <s v="Renson Mnyamwezi"/>
    <s v="Standard Digital "/>
    <d v="2016-10-25T00:00:00"/>
    <x v="0"/>
    <x v="1"/>
    <x v="0"/>
    <m/>
    <s v="Not Provided"/>
    <x v="5"/>
    <x v="2"/>
    <x v="2"/>
    <s v="blunt force"/>
    <x v="1"/>
    <x v="1"/>
    <m/>
    <m/>
    <s v="Not Provided"/>
    <m/>
    <m/>
    <s v="Mwatate"/>
    <x v="44"/>
  </r>
  <r>
    <s v="Renson Mnyamwezi"/>
    <s v="Standard Digital "/>
    <d v="2016-11-24T00:00:00"/>
    <x v="0"/>
    <x v="364"/>
    <x v="52"/>
    <m/>
    <s v="Not Provided"/>
    <x v="4"/>
    <x v="1"/>
    <x v="2"/>
    <s v="stabbed"/>
    <x v="15"/>
    <x v="1"/>
    <m/>
    <m/>
    <s v="Not Provided"/>
    <m/>
    <m/>
    <s v="Wundanyi town"/>
    <x v="44"/>
  </r>
  <r>
    <s v="Brian Ocharo And Lucy Mkanyika"/>
    <s v="Daily Nation "/>
    <d v="2017-12-27T00:00:00"/>
    <x v="0"/>
    <x v="365"/>
    <x v="3"/>
    <m/>
    <s v="Jeremiah Mwabiso"/>
    <x v="0"/>
    <x v="0"/>
    <x v="0"/>
    <s v="stabbed"/>
    <x v="1"/>
    <x v="1"/>
    <m/>
    <m/>
    <s v="Not Provided"/>
    <m/>
    <m/>
    <s v="Voi"/>
    <x v="44"/>
  </r>
  <r>
    <s v="Solomon Muingi"/>
    <s v="The Star "/>
    <d v="2018-01-05T00:00:00"/>
    <x v="0"/>
    <x v="366"/>
    <x v="9"/>
    <m/>
    <s v="Protus Nyangasera"/>
    <x v="3"/>
    <x v="0"/>
    <x v="0"/>
    <s v="stabbed"/>
    <x v="1"/>
    <x v="1"/>
    <m/>
    <m/>
    <s v="Not Provided"/>
    <m/>
    <m/>
    <s v="Mwanandunyi village"/>
    <x v="44"/>
  </r>
  <r>
    <s v="Renson Mnyamwezi And Mkamburi Mwawasi"/>
    <s v="Standard Digital "/>
    <d v="2018-02-26T00:00:00"/>
    <x v="0"/>
    <x v="1"/>
    <x v="63"/>
    <m/>
    <s v="Not Provided"/>
    <x v="4"/>
    <x v="2"/>
    <x v="0"/>
    <s v="sexual assault"/>
    <x v="0"/>
    <x v="1"/>
    <m/>
    <m/>
    <s v="Not Provided"/>
    <m/>
    <m/>
    <s v="Lushangonyi village"/>
    <x v="44"/>
  </r>
  <r>
    <s v="Solomon Muingi"/>
    <s v="The Star "/>
    <d v="2021-04-13T00:00:00"/>
    <x v="0"/>
    <x v="367"/>
    <x v="0"/>
    <m/>
    <s v="Not Provided"/>
    <x v="4"/>
    <x v="2"/>
    <x v="2"/>
    <s v="other"/>
    <x v="0"/>
    <x v="1"/>
    <m/>
    <m/>
    <s v="Not Provided"/>
    <m/>
    <m/>
    <s v="Wundanyi"/>
    <x v="44"/>
  </r>
  <r>
    <s v="Not Provided"/>
    <s v="Daily Nation "/>
    <d v="2020-08-11T00:00:00"/>
    <x v="0"/>
    <x v="368"/>
    <x v="18"/>
    <m/>
    <s v="Not Provided"/>
    <x v="4"/>
    <x v="1"/>
    <x v="2"/>
    <s v="hacked"/>
    <x v="0"/>
    <x v="1"/>
    <m/>
    <m/>
    <s v="Not Provided"/>
    <m/>
    <m/>
    <s v="Vibao viwili village"/>
    <x v="45"/>
  </r>
  <r>
    <s v="Alex Njeru"/>
    <s v="Daily Nation "/>
    <d v="2023-05-25T00:00:00"/>
    <x v="0"/>
    <x v="369"/>
    <x v="23"/>
    <d v="2023-05-24T00:00:00"/>
    <s v="Not Provided"/>
    <x v="4"/>
    <x v="1"/>
    <x v="2"/>
    <s v="Strangled"/>
    <x v="0"/>
    <x v="1"/>
    <m/>
    <m/>
    <s v="Not Provided"/>
    <m/>
    <m/>
    <s v="Kabuboni village"/>
    <x v="46"/>
  </r>
  <r>
    <s v="Osinde Obare"/>
    <s v="Standard digital"/>
    <d v="2021-11-23T00:00:00"/>
    <x v="0"/>
    <x v="370"/>
    <x v="53"/>
    <m/>
    <s v="Robin Oyori Osuma"/>
    <x v="5"/>
    <x v="1"/>
    <x v="0"/>
    <s v="stabbed"/>
    <x v="0"/>
    <x v="0"/>
    <m/>
    <m/>
    <s v="Not Provided"/>
    <m/>
    <m/>
    <s v="Siyoi village within Amuka location"/>
    <x v="47"/>
  </r>
  <r>
    <s v="People Daily"/>
    <s v="MediaMax Network"/>
    <d v="2019-05-25T00:00:00"/>
    <x v="0"/>
    <x v="371"/>
    <x v="0"/>
    <m/>
    <s v="Pst. Musa Wekesa"/>
    <x v="4"/>
    <x v="1"/>
    <x v="0"/>
    <s v="stabbed"/>
    <x v="1"/>
    <x v="0"/>
    <m/>
    <d v="2019-05-25T00:00:00"/>
    <s v="guilty"/>
    <n v="25"/>
    <n v="2879"/>
    <s v="Kitale"/>
    <x v="48"/>
  </r>
  <r>
    <s v="Gerald Bwisa"/>
    <s v="Daily Nation "/>
    <d v="2019-09-25T00:00:00"/>
    <x v="0"/>
    <x v="372"/>
    <x v="0"/>
    <d v="2012-05-10T00:00:00"/>
    <s v="Samson Kamau Njoroge"/>
    <x v="2"/>
    <x v="0"/>
    <x v="2"/>
    <s v="stabbed"/>
    <x v="7"/>
    <x v="0"/>
    <m/>
    <d v="2019-09-25T00:00:00"/>
    <s v="guilty"/>
    <n v="25"/>
    <n v="2694"/>
    <s v="Naisambu"/>
    <x v="48"/>
  </r>
  <r>
    <s v="Stanley Ogwae"/>
    <s v="Standard Digital "/>
    <d v="2018-10-12T00:00:00"/>
    <x v="0"/>
    <x v="373"/>
    <x v="0"/>
    <m/>
    <s v="Joah Marube"/>
    <x v="0"/>
    <x v="0"/>
    <x v="0"/>
    <s v="blunt force"/>
    <x v="0"/>
    <x v="2"/>
    <m/>
    <m/>
    <s v="Not Provided"/>
    <m/>
    <m/>
    <s v="Tondori village"/>
    <x v="48"/>
  </r>
  <r>
    <s v="Osinde Obare"/>
    <s v="Standard Digital "/>
    <d v="2017-12-12T00:00:00"/>
    <x v="0"/>
    <x v="374"/>
    <x v="14"/>
    <m/>
    <s v="Anthony Karanja"/>
    <x v="0"/>
    <x v="0"/>
    <x v="0"/>
    <s v="stabbed"/>
    <x v="1"/>
    <x v="1"/>
    <m/>
    <m/>
    <s v="Not Provided"/>
    <m/>
    <m/>
    <s v="Kitale"/>
    <x v="48"/>
  </r>
  <r>
    <s v="Osinde Obare"/>
    <s v="Standard Digital "/>
    <d v="2018-07-07T00:00:00"/>
    <x v="0"/>
    <x v="1"/>
    <x v="15"/>
    <m/>
    <s v="Not Provided"/>
    <x v="4"/>
    <x v="1"/>
    <x v="2"/>
    <s v="Strangled"/>
    <x v="6"/>
    <x v="1"/>
    <m/>
    <m/>
    <s v="Not Provided"/>
    <m/>
    <m/>
    <s v="Masaba B"/>
    <x v="48"/>
  </r>
  <r>
    <s v="Osinde Obare"/>
    <s v="Standard Digital "/>
    <d v="2018-10-31T00:00:00"/>
    <x v="0"/>
    <x v="1"/>
    <x v="51"/>
    <m/>
    <s v="Not Provided"/>
    <x v="0"/>
    <x v="0"/>
    <x v="0"/>
    <s v="Strangled"/>
    <x v="1"/>
    <x v="1"/>
    <m/>
    <m/>
    <s v="Not Provided"/>
    <m/>
    <m/>
    <s v="Babaton location"/>
    <x v="48"/>
  </r>
  <r>
    <s v="Titus Ominde"/>
    <s v="Daily Nation "/>
    <d v="2020-03-07T00:00:00"/>
    <x v="0"/>
    <x v="375"/>
    <x v="11"/>
    <m/>
    <s v="Const. Bernard Ndege"/>
    <x v="0"/>
    <x v="0"/>
    <x v="0"/>
    <s v="shot"/>
    <x v="1"/>
    <x v="2"/>
    <d v="2020-03-04T00:00:00"/>
    <m/>
    <s v="Not Provided"/>
    <m/>
    <m/>
    <s v="Soy police station"/>
    <x v="48"/>
  </r>
  <r>
    <s v="Gerald Bwisa"/>
    <s v="Daily Nation "/>
    <d v="2019-05-07T00:00:00"/>
    <x v="0"/>
    <x v="376"/>
    <x v="64"/>
    <d v="2019-05-06T00:00:00"/>
    <s v="Daniel koech"/>
    <x v="0"/>
    <x v="0"/>
    <x v="0"/>
    <s v="hacked"/>
    <x v="1"/>
    <x v="1"/>
    <m/>
    <m/>
    <s v="Not Provided"/>
    <m/>
    <m/>
    <s v="Soy Minning village"/>
    <x v="48"/>
  </r>
  <r>
    <s v="Gerald Bwisa"/>
    <s v="Daily Nation "/>
    <d v="2019-08-18T00:00:00"/>
    <x v="0"/>
    <x v="377"/>
    <x v="0"/>
    <m/>
    <s v="Stephen Kagumo"/>
    <x v="0"/>
    <x v="0"/>
    <x v="0"/>
    <s v="hacked"/>
    <x v="1"/>
    <x v="3"/>
    <m/>
    <m/>
    <s v="Not Provided"/>
    <m/>
    <m/>
    <s v="Makung village"/>
    <x v="48"/>
  </r>
  <r>
    <s v="Evans Jaola"/>
    <s v="Daily Nation "/>
    <d v="2023-03-05T00:00:00"/>
    <x v="0"/>
    <x v="378"/>
    <x v="55"/>
    <m/>
    <s v="Alex Chemwantei Cheroben "/>
    <x v="0"/>
    <x v="0"/>
    <x v="0"/>
    <s v="burned"/>
    <x v="39"/>
    <x v="1"/>
    <d v="2023-03-06T00:00:00"/>
    <m/>
    <s v="Not Provided"/>
    <m/>
    <m/>
    <s v="Nyakoingwana village"/>
    <x v="48"/>
  </r>
  <r>
    <s v="By _x000a_ Sammy Lutta"/>
    <s v="The Nation"/>
    <d v="2020-12-11T00:00:00"/>
    <x v="0"/>
    <x v="379"/>
    <x v="21"/>
    <m/>
    <s v="Victor Ekal"/>
    <x v="3"/>
    <x v="0"/>
    <x v="0"/>
    <s v="Strangled"/>
    <x v="0"/>
    <x v="1"/>
    <m/>
    <m/>
    <s v="Not Provided"/>
    <m/>
    <m/>
    <s v="Juluok village"/>
    <x v="49"/>
  </r>
  <r>
    <s v="Lynn Kolongei"/>
    <s v="Standard Digital "/>
    <d v="2021-12-24T00:00:00"/>
    <x v="0"/>
    <x v="380"/>
    <x v="0"/>
    <m/>
    <s v="Agnes Cheronoi"/>
    <x v="6"/>
    <x v="2"/>
    <x v="0"/>
    <s v="blunt force"/>
    <x v="2"/>
    <x v="0"/>
    <m/>
    <d v="2021-12-24T00:00:00"/>
    <s v="guilty"/>
    <n v="10"/>
    <n v="2566"/>
    <s v="Chegilet village"/>
    <x v="50"/>
  </r>
  <r>
    <s v="Mathews Ndanyi"/>
    <s v="The Star "/>
    <d v="2018-02-23T00:00:00"/>
    <x v="0"/>
    <x v="381"/>
    <x v="0"/>
    <m/>
    <s v="David Amuoka"/>
    <x v="0"/>
    <x v="0"/>
    <x v="0"/>
    <s v="stabbed"/>
    <x v="1"/>
    <x v="1"/>
    <m/>
    <m/>
    <s v="Not Provided"/>
    <m/>
    <m/>
    <s v="Kahoya Estate"/>
    <x v="50"/>
  </r>
  <r>
    <s v="Stephen Rutto"/>
    <s v="Standard Digital "/>
    <d v="2018-10-03T00:00:00"/>
    <x v="0"/>
    <x v="382"/>
    <x v="39"/>
    <m/>
    <s v="David Kipsang"/>
    <x v="4"/>
    <x v="1"/>
    <x v="0"/>
    <s v="stabbed"/>
    <x v="0"/>
    <x v="2"/>
    <d v="2018-09-21T00:00:00"/>
    <m/>
    <s v="Not Provided"/>
    <m/>
    <m/>
    <s v="Eldoret town"/>
    <x v="50"/>
  </r>
  <r>
    <s v="Mathews Ndanyi"/>
    <s v="The Star "/>
    <d v="2019-02-27T00:00:00"/>
    <x v="0"/>
    <x v="383"/>
    <x v="5"/>
    <m/>
    <s v="David Siloba"/>
    <x v="3"/>
    <x v="0"/>
    <x v="0"/>
    <s v="Strangled"/>
    <x v="1"/>
    <x v="2"/>
    <d v="2019-03-14T00:00:00"/>
    <m/>
    <s v="Not Provided"/>
    <m/>
    <m/>
    <s v="Eldoret town"/>
    <x v="50"/>
  </r>
  <r>
    <s v="Vincent Achuka"/>
    <s v="Daily Nation "/>
    <d v="2019-04-11T00:00:00"/>
    <x v="0"/>
    <x v="384"/>
    <x v="5"/>
    <m/>
    <s v="Naftali Kinuthia"/>
    <x v="3"/>
    <x v="0"/>
    <x v="2"/>
    <s v="hacked"/>
    <x v="2"/>
    <x v="2"/>
    <d v="2019-04-15T00:00:00"/>
    <m/>
    <s v="guilty"/>
    <m/>
    <n v="1662"/>
    <s v="Eldoret town"/>
    <x v="50"/>
  </r>
  <r>
    <s v="Not Provided"/>
    <s v="Citizen TV"/>
    <m/>
    <x v="0"/>
    <x v="385"/>
    <x v="0"/>
    <m/>
    <s v="Not Provided"/>
    <x v="0"/>
    <x v="1"/>
    <x v="1"/>
    <s v="Not Provided "/>
    <x v="0"/>
    <x v="0"/>
    <m/>
    <m/>
    <s v="Not Provided"/>
    <m/>
    <m/>
    <s v="Uasin Gishu County"/>
    <x v="50"/>
  </r>
  <r>
    <s v="Titus Ominde"/>
    <s v="Daily Nation "/>
    <d v="2019-08-07T00:00:00"/>
    <x v="0"/>
    <x v="386"/>
    <x v="2"/>
    <m/>
    <s v="Isaiah Samoei Kipchirchir"/>
    <x v="1"/>
    <x v="0"/>
    <x v="1"/>
    <s v="Strangled"/>
    <x v="0"/>
    <x v="2"/>
    <d v="2019-08-13T00:00:00"/>
    <m/>
    <s v="Not Provided"/>
    <m/>
    <m/>
    <s v="Not Provided"/>
    <x v="50"/>
  </r>
  <r>
    <s v="Not Provided"/>
    <s v="Daily Nation "/>
    <m/>
    <x v="0"/>
    <x v="387"/>
    <x v="0"/>
    <m/>
    <s v="Not Provided"/>
    <x v="3"/>
    <x v="1"/>
    <x v="1"/>
    <s v="Not Provided "/>
    <x v="0"/>
    <x v="0"/>
    <m/>
    <m/>
    <s v="Not Provided"/>
    <m/>
    <m/>
    <s v="Uasin Gishu County"/>
    <x v="50"/>
  </r>
  <r>
    <s v="Mathews Ndanyi"/>
    <s v="The Star "/>
    <d v="2019-11-06T00:00:00"/>
    <x v="0"/>
    <x v="388"/>
    <x v="12"/>
    <m/>
    <s v="Mustafa Idd"/>
    <x v="4"/>
    <x v="1"/>
    <x v="2"/>
    <s v="hacked"/>
    <x v="0"/>
    <x v="2"/>
    <d v="2019-11-05T00:00:00"/>
    <m/>
    <s v="Not Provided"/>
    <m/>
    <m/>
    <s v="Moi's Bridge"/>
    <x v="50"/>
  </r>
  <r>
    <s v="Carolyne Kubwa"/>
    <s v="The Star"/>
    <d v="2022-02-07T00:00:00"/>
    <x v="0"/>
    <x v="389"/>
    <x v="27"/>
    <m/>
    <s v="Evans Juma Wanjala"/>
    <x v="4"/>
    <x v="1"/>
    <x v="1"/>
    <s v="sexual assault"/>
    <x v="0"/>
    <x v="0"/>
    <m/>
    <m/>
    <s v="Not Provided"/>
    <m/>
    <m/>
    <s v="Soy"/>
    <x v="50"/>
  </r>
  <r>
    <s v="Hilton Otenyo"/>
    <s v="The Star "/>
    <d v="2021-05-27T00:00:00"/>
    <x v="0"/>
    <x v="390"/>
    <x v="3"/>
    <d v="2021-05-26T00:00:00"/>
    <s v="John Kuria"/>
    <x v="0"/>
    <x v="0"/>
    <x v="0"/>
    <s v="stabbed"/>
    <x v="1"/>
    <x v="3"/>
    <m/>
    <m/>
    <s v="Not Provided"/>
    <m/>
    <m/>
    <s v="Kolonget village"/>
    <x v="50"/>
  </r>
  <r>
    <s v="Mathews Ndanyi"/>
    <s v="The Star "/>
    <d v="2021-12-07T00:00:00"/>
    <x v="0"/>
    <x v="391"/>
    <x v="0"/>
    <m/>
    <s v="Douglas kipchumba"/>
    <x v="2"/>
    <x v="0"/>
    <x v="0"/>
    <s v="blunt force"/>
    <x v="8"/>
    <x v="1"/>
    <d v="2021-12-15T00:00:00"/>
    <m/>
    <s v="Not Provided"/>
    <m/>
    <m/>
    <s v="Eldoret town"/>
    <x v="50"/>
  </r>
  <r>
    <s v="Jessicah Nyaboke"/>
    <s v="The Star "/>
    <d v="2023-05-01T00:00:00"/>
    <x v="0"/>
    <x v="392"/>
    <x v="0"/>
    <d v="2023-05-01T00:00:00"/>
    <s v="Peter Kimulwo"/>
    <x v="3"/>
    <x v="0"/>
    <x v="0"/>
    <s v="stabbed"/>
    <x v="0"/>
    <x v="1"/>
    <m/>
    <m/>
    <s v="Not Provided"/>
    <m/>
    <m/>
    <s v="Sogomo centre"/>
    <x v="50"/>
  </r>
  <r>
    <s v="Fred Kibor And Barnabas Bii"/>
    <s v="Daily Nation "/>
    <d v="2023-06-26T00:00:00"/>
    <x v="0"/>
    <x v="393"/>
    <x v="24"/>
    <m/>
    <s v="Eliud Kipchoge"/>
    <x v="3"/>
    <x v="0"/>
    <x v="4"/>
    <s v="hacked"/>
    <x v="40"/>
    <x v="1"/>
    <m/>
    <m/>
    <s v="Not Provided"/>
    <m/>
    <m/>
    <s v="Kibolo village"/>
    <x v="50"/>
  </r>
  <r>
    <s v="Lynn Kolongei"/>
    <s v="Standard Digital "/>
    <d v="2021-10-08T00:00:00"/>
    <x v="0"/>
    <x v="394"/>
    <x v="0"/>
    <m/>
    <s v="Joseph Kibet"/>
    <x v="0"/>
    <x v="0"/>
    <x v="0"/>
    <s v="Not Provided "/>
    <x v="0"/>
    <x v="2"/>
    <d v="2021-12-02T00:00:00"/>
    <m/>
    <s v="Not Provided"/>
    <m/>
    <m/>
    <s v="Ngenyilele"/>
    <x v="50"/>
  </r>
  <r>
    <s v="Derrick Luvega"/>
    <s v="Daily Nation "/>
    <d v="2019-07-29T00:00:00"/>
    <x v="0"/>
    <x v="1"/>
    <x v="0"/>
    <m/>
    <s v="Sammy Muhanji"/>
    <x v="0"/>
    <x v="0"/>
    <x v="0"/>
    <s v="hacked"/>
    <x v="0"/>
    <x v="3"/>
    <m/>
    <m/>
    <s v="Not Provided"/>
    <m/>
    <m/>
    <s v="Elukui village"/>
    <x v="51"/>
  </r>
  <r>
    <s v="Cyrus Ombati"/>
    <s v="The Star "/>
    <m/>
    <x v="0"/>
    <x v="1"/>
    <x v="36"/>
    <m/>
    <s v="Patrick Misiko and Christine Jerono"/>
    <x v="4"/>
    <x v="2"/>
    <x v="0"/>
    <s v="blunt force"/>
    <x v="41"/>
    <x v="1"/>
    <m/>
    <m/>
    <s v="Not Provided"/>
    <m/>
    <m/>
    <s v="Serem area"/>
    <x v="51"/>
  </r>
  <r>
    <s v="Citizen Reporter"/>
    <s v="Citizen Digital"/>
    <d v="2023-08-15T00:00:00"/>
    <x v="0"/>
    <x v="395"/>
    <x v="0"/>
    <m/>
    <s v="James Mutonyi"/>
    <x v="3"/>
    <x v="0"/>
    <x v="2"/>
    <s v="stabbed"/>
    <x v="42"/>
    <x v="1"/>
    <m/>
    <m/>
    <s v="Not Provided"/>
    <m/>
    <m/>
    <s v="Ematunzi village"/>
    <x v="51"/>
  </r>
  <r>
    <s v="Irissheel Shanzu"/>
    <s v="Standard Digital "/>
    <d v="2018-08-17T00:00:00"/>
    <x v="0"/>
    <x v="1"/>
    <x v="0"/>
    <m/>
    <s v="Patrick Losimer"/>
    <x v="0"/>
    <x v="0"/>
    <x v="0"/>
    <s v="stabbed"/>
    <x v="1"/>
    <x v="1"/>
    <m/>
    <m/>
    <s v="Not Provided"/>
    <m/>
    <m/>
    <s v="Kaptabuk location"/>
    <x v="52"/>
  </r>
  <r>
    <s v="Maryann Chai"/>
    <s v="The Star "/>
    <d v="2018-12-27T00:00:00"/>
    <x v="0"/>
    <x v="1"/>
    <x v="0"/>
    <m/>
    <s v="Jimmy Njoroge"/>
    <x v="0"/>
    <x v="0"/>
    <x v="0"/>
    <s v="stabbed"/>
    <x v="1"/>
    <x v="1"/>
    <m/>
    <m/>
    <s v="Not Provided"/>
    <m/>
    <m/>
    <s v="Mawingo slum"/>
    <x v="52"/>
  </r>
  <r>
    <s v=" Irissheel Shanzu"/>
    <s v="Standard digital"/>
    <m/>
    <x v="0"/>
    <x v="1"/>
    <x v="0"/>
    <m/>
    <s v="Joseph Lokwang"/>
    <x v="0"/>
    <x v="0"/>
    <x v="0"/>
    <s v="stabbed"/>
    <x v="43"/>
    <x v="0"/>
    <m/>
    <m/>
    <s v="Not Provided"/>
    <m/>
    <m/>
    <s v="Bendera area"/>
    <x v="52"/>
  </r>
  <r>
    <s v="Maryann Chai"/>
    <s v="The Star "/>
    <d v="2021-02-10T00:00:00"/>
    <x v="0"/>
    <x v="1"/>
    <x v="0"/>
    <m/>
    <s v="Not Provided"/>
    <x v="0"/>
    <x v="0"/>
    <x v="0"/>
    <s v="blunt force"/>
    <x v="1"/>
    <x v="1"/>
    <m/>
    <m/>
    <s v="Not Provided"/>
    <m/>
    <m/>
    <s v="Makutano town"/>
    <x v="52"/>
  </r>
  <r>
    <s v="Irissheel Shanzu"/>
    <s v="Standard Digital "/>
    <d v="2022-05-20T00:00:00"/>
    <x v="0"/>
    <x v="396"/>
    <x v="40"/>
    <d v="2022-05-20T00:00:00"/>
    <s v="Vincent kibet"/>
    <x v="3"/>
    <x v="0"/>
    <x v="0"/>
    <s v="stabbed"/>
    <x v="1"/>
    <x v="3"/>
    <m/>
    <m/>
    <s v="Not Provided"/>
    <m/>
    <m/>
    <s v="Samich Primary School"/>
    <x v="52"/>
  </r>
  <r>
    <s v="Irissheel Shanzu "/>
    <s v="The Standard (kenya)"/>
    <d v="2023-08-22T00:00:00"/>
    <x v="0"/>
    <x v="397"/>
    <x v="12"/>
    <m/>
    <s v="Francis Masinde"/>
    <x v="3"/>
    <x v="0"/>
    <x v="0"/>
    <s v="other"/>
    <x v="0"/>
    <x v="5"/>
    <m/>
    <m/>
    <s v="Not Provided"/>
    <m/>
    <m/>
    <s v="Chebon Location."/>
    <x v="52"/>
  </r>
  <r>
    <m/>
    <m/>
    <m/>
    <x v="1"/>
    <x v="398"/>
    <x v="65"/>
    <m/>
    <m/>
    <x v="8"/>
    <x v="3"/>
    <x v="6"/>
    <m/>
    <x v="44"/>
    <x v="9"/>
    <m/>
    <m/>
    <m/>
    <m/>
    <m/>
    <m/>
    <x v="53"/>
  </r>
  <r>
    <m/>
    <m/>
    <m/>
    <x v="1"/>
    <x v="398"/>
    <x v="0"/>
    <m/>
    <m/>
    <x v="8"/>
    <x v="3"/>
    <x v="6"/>
    <m/>
    <x v="44"/>
    <x v="9"/>
    <m/>
    <m/>
    <m/>
    <m/>
    <m/>
    <m/>
    <x v="5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7">
  <r>
    <s v="Carolyne Kubwa"/>
    <x v="0"/>
    <x v="0"/>
    <x v="0"/>
    <s v="Damaris kibe"/>
    <m/>
    <m/>
    <s v="Isaac Kirui"/>
    <s v="Husband"/>
    <s v="Intimate"/>
    <s v="home"/>
    <x v="0"/>
    <s v="Not Provided"/>
    <s v="Not Provided"/>
    <m/>
    <d v="2019-07-03T00:00:00"/>
    <x v="0"/>
    <m/>
    <n v="2068"/>
    <s v="Not Provided"/>
    <x v="0"/>
    <x v="0"/>
  </r>
  <r>
    <s v="Citizen Reporter"/>
    <x v="1"/>
    <x v="1"/>
    <x v="0"/>
    <s v="Not Provided"/>
    <n v="24"/>
    <m/>
    <s v="Joseph Kiplimo"/>
    <s v="Husband"/>
    <s v="Intimate"/>
    <s v="home"/>
    <x v="1"/>
    <s v="Argument"/>
    <s v="under investigation"/>
    <m/>
    <m/>
    <x v="1"/>
    <m/>
    <m/>
    <s v="Not Provided"/>
    <x v="0"/>
    <x v="0"/>
  </r>
  <r>
    <s v="Anne Atieno"/>
    <x v="2"/>
    <x v="2"/>
    <x v="0"/>
    <s v="Joyce Aluoch"/>
    <m/>
    <m/>
    <s v="Charles Odhiambo"/>
    <s v="Husband"/>
    <s v="Not Provided"/>
    <s v="Not Provided"/>
    <x v="2"/>
    <s v="Not Provided"/>
    <s v="Not Provided"/>
    <m/>
    <m/>
    <x v="0"/>
    <m/>
    <m/>
    <s v="Not Provided"/>
    <x v="0"/>
    <x v="0"/>
  </r>
  <r>
    <s v=" Annette Wambulwa"/>
    <x v="0"/>
    <x v="3"/>
    <x v="0"/>
    <s v="Rose Wekesa"/>
    <m/>
    <m/>
    <s v="Storum Miheso"/>
    <s v="Husband"/>
    <s v="Intimate"/>
    <s v="Not Provided"/>
    <x v="3"/>
    <s v="Not Provided"/>
    <s v="Not Provided"/>
    <m/>
    <m/>
    <x v="1"/>
    <m/>
    <m/>
    <s v="Not Provided"/>
    <x v="0"/>
    <x v="0"/>
  </r>
  <r>
    <s v="Not Provided"/>
    <x v="3"/>
    <x v="4"/>
    <x v="0"/>
    <s v="Naomi Tuitoek"/>
    <n v="27"/>
    <m/>
    <s v="Not Provided"/>
    <s v="Husband"/>
    <s v="Not Provided"/>
    <s v="Not Provided"/>
    <x v="3"/>
    <s v="Not Provided"/>
    <s v="Not Provided"/>
    <m/>
    <m/>
    <x v="1"/>
    <m/>
    <m/>
    <s v="Baringo County"/>
    <x v="1"/>
    <x v="1"/>
  </r>
  <r>
    <s v="Carole Maina"/>
    <x v="0"/>
    <x v="5"/>
    <x v="0"/>
    <s v="Diana Chemutai (Chelele)"/>
    <m/>
    <m/>
    <s v="Eric Musila"/>
    <s v="Ex-Husband"/>
    <s v="Intimate"/>
    <s v="home"/>
    <x v="3"/>
    <s v="Argument"/>
    <s v="Not Provided"/>
    <d v="2016-12-16T00:00:00"/>
    <d v="2019-05-03T00:00:00"/>
    <x v="2"/>
    <n v="0"/>
    <n v="1212"/>
    <s v="Kapkwen"/>
    <x v="2"/>
    <x v="1"/>
  </r>
  <r>
    <s v="Gilbert Kimutai"/>
    <x v="4"/>
    <x v="6"/>
    <x v="0"/>
    <s v="Not Provided"/>
    <n v="24"/>
    <m/>
    <s v="Not Provided"/>
    <s v="Ex-Boyfriend"/>
    <s v="Intimate"/>
    <s v="home"/>
    <x v="4"/>
    <s v="jealousy"/>
    <s v="under investigation"/>
    <m/>
    <m/>
    <x v="1"/>
    <m/>
    <m/>
    <s v="Chemaner location"/>
    <x v="2"/>
    <x v="1"/>
  </r>
  <r>
    <s v="Vitalis Kimutai"/>
    <x v="5"/>
    <x v="7"/>
    <x v="0"/>
    <s v="Caroline Kirui"/>
    <n v="20"/>
    <d v="2019-05-11T00:00:00"/>
    <s v="Gilbert Kipngetich Kirui"/>
    <s v="Husband"/>
    <s v="Intimate"/>
    <s v="home"/>
    <x v="1"/>
    <s v="Argument"/>
    <s v="under investigation"/>
    <m/>
    <m/>
    <x v="1"/>
    <m/>
    <m/>
    <s v="Konoin"/>
    <x v="2"/>
    <x v="1"/>
  </r>
  <r>
    <s v=" Stella Cherono"/>
    <x v="5"/>
    <x v="4"/>
    <x v="0"/>
    <s v="Emmy Chepkoech Mitey"/>
    <n v="45"/>
    <m/>
    <s v="Robert Tonui "/>
    <s v="Boyfriend"/>
    <s v="Intimate"/>
    <s v="home"/>
    <x v="5"/>
    <s v="divorce/separation"/>
    <s v="Not Provided"/>
    <m/>
    <m/>
    <x v="1"/>
    <m/>
    <m/>
    <s v="Seanin"/>
    <x v="2"/>
    <x v="1"/>
  </r>
  <r>
    <s v="Paul Ruto"/>
    <x v="1"/>
    <x v="8"/>
    <x v="0"/>
    <s v="Not Provided"/>
    <n v="25"/>
    <m/>
    <s v="Nickson Sang"/>
    <s v="Husband"/>
    <s v="Intimate"/>
    <s v="home"/>
    <x v="4"/>
    <s v="Argument"/>
    <s v="under investigation"/>
    <m/>
    <m/>
    <x v="1"/>
    <m/>
    <m/>
    <s v="Kipreres"/>
    <x v="2"/>
    <x v="1"/>
  </r>
  <r>
    <s v="Not Provided"/>
    <x v="2"/>
    <x v="9"/>
    <x v="0"/>
    <s v="Faith Chepkoech"/>
    <n v="25"/>
    <m/>
    <s v="Gilbert Langat"/>
    <s v="Husband"/>
    <s v="Not Provided"/>
    <s v="home"/>
    <x v="4"/>
    <s v="Not Provided"/>
    <s v="Not Provided"/>
    <m/>
    <m/>
    <x v="1"/>
    <m/>
    <m/>
    <s v="Mauche estate within Bomet Township"/>
    <x v="2"/>
    <x v="1"/>
  </r>
  <r>
    <s v="Kna"/>
    <x v="0"/>
    <x v="10"/>
    <x v="0"/>
    <s v="Not Provided"/>
    <n v="38"/>
    <m/>
    <s v="Not Provided"/>
    <s v="Stranger"/>
    <s v="Non-intimate"/>
    <s v="Public Space"/>
    <x v="6"/>
    <s v="Not Provided"/>
    <s v="under investigation"/>
    <m/>
    <m/>
    <x v="1"/>
    <m/>
    <m/>
    <s v="Tembwo trading centre"/>
    <x v="2"/>
    <x v="1"/>
  </r>
  <r>
    <s v="Paul Ruto"/>
    <x v="1"/>
    <x v="11"/>
    <x v="0"/>
    <s v="Not Provided"/>
    <m/>
    <m/>
    <s v="Niphael Kiprotich Ngetich"/>
    <s v="Husband"/>
    <s v="Intimate"/>
    <s v="home"/>
    <x v="2"/>
    <s v="Domestic wrangle"/>
    <s v="under investigation"/>
    <m/>
    <m/>
    <x v="1"/>
    <m/>
    <m/>
    <s v="Korara area"/>
    <x v="2"/>
    <x v="1"/>
  </r>
  <r>
    <s v="Brian Ojamaa"/>
    <x v="0"/>
    <x v="12"/>
    <x v="0"/>
    <s v="Abigail Wafula"/>
    <n v="16"/>
    <m/>
    <s v="Kizito Wafula"/>
    <s v="Family Member"/>
    <s v="Non-intimate"/>
    <s v="home"/>
    <x v="2"/>
    <s v="Others"/>
    <s v="Not Provided"/>
    <m/>
    <m/>
    <x v="1"/>
    <m/>
    <m/>
    <s v="Misemwa village"/>
    <x v="3"/>
    <x v="2"/>
  </r>
  <r>
    <s v="Brian Ojamaa"/>
    <x v="0"/>
    <x v="13"/>
    <x v="0"/>
    <s v="Feophe Ekas"/>
    <n v="28"/>
    <m/>
    <s v="Alln Osiome"/>
    <s v="Husband"/>
    <s v="Intimate"/>
    <s v="home"/>
    <x v="4"/>
    <s v="Argument"/>
    <s v="Not Provided"/>
    <m/>
    <m/>
    <x v="1"/>
    <m/>
    <m/>
    <s v="Sirisia constituency"/>
    <x v="3"/>
    <x v="2"/>
  </r>
  <r>
    <s v="Not Provided"/>
    <x v="0"/>
    <x v="14"/>
    <x v="0"/>
    <s v="Sara Nyanyama"/>
    <n v="37"/>
    <m/>
    <s v="Ben Wafula"/>
    <s v="Husband"/>
    <s v="Intimate"/>
    <s v="home"/>
    <x v="2"/>
    <s v="Argument"/>
    <s v="under investigation"/>
    <m/>
    <m/>
    <x v="1"/>
    <m/>
    <m/>
    <s v="Not Provided"/>
    <x v="3"/>
    <x v="2"/>
  </r>
  <r>
    <s v="Raphael Wanjala"/>
    <x v="4"/>
    <x v="15"/>
    <x v="0"/>
    <s v="Mildred Wanyonyi"/>
    <m/>
    <m/>
    <s v="Simon Wamalwa"/>
    <s v="Boyfriend"/>
    <s v="Intimate"/>
    <s v="school"/>
    <x v="4"/>
    <s v="jealousy"/>
    <s v="under investigation"/>
    <m/>
    <m/>
    <x v="1"/>
    <m/>
    <m/>
    <s v="Sang'alo Institute of Science and Technology"/>
    <x v="3"/>
    <x v="2"/>
  </r>
  <r>
    <s v="Brian Ojamaa"/>
    <x v="0"/>
    <x v="16"/>
    <x v="0"/>
    <s v="Not Provided"/>
    <n v="33"/>
    <m/>
    <s v="Jared Nyongesa"/>
    <s v="Husband"/>
    <s v="Intimate"/>
    <s v="home"/>
    <x v="1"/>
    <s v="Argument"/>
    <s v="under investigation"/>
    <m/>
    <m/>
    <x v="1"/>
    <m/>
    <m/>
    <s v="Kanduyi vilage"/>
    <x v="3"/>
    <x v="2"/>
  </r>
  <r>
    <s v="Brian Ojamaa"/>
    <x v="0"/>
    <x v="16"/>
    <x v="0"/>
    <s v="Not Provided"/>
    <n v="33"/>
    <m/>
    <s v="Jared Nyongesa"/>
    <s v="Husband"/>
    <s v="Intimate"/>
    <s v="home"/>
    <x v="2"/>
    <s v="Argument"/>
    <s v="under investigation"/>
    <m/>
    <m/>
    <x v="1"/>
    <m/>
    <m/>
    <s v="Kanduyi"/>
    <x v="3"/>
    <x v="2"/>
  </r>
  <r>
    <s v="Brian Ojamaa"/>
    <x v="0"/>
    <x v="17"/>
    <x v="0"/>
    <s v="Irene Sifuna"/>
    <m/>
    <m/>
    <s v="Not Provided"/>
    <s v="Stranger"/>
    <s v="Not Provided"/>
    <s v="home"/>
    <x v="4"/>
    <s v="Not Provided"/>
    <s v="under investigation"/>
    <m/>
    <m/>
    <x v="1"/>
    <m/>
    <m/>
    <s v="Not Provided"/>
    <x v="3"/>
    <x v="2"/>
  </r>
  <r>
    <s v="Raphael Wanjala"/>
    <x v="4"/>
    <x v="18"/>
    <x v="0"/>
    <s v="Sarah Chebet"/>
    <m/>
    <m/>
    <s v="Not Provided"/>
    <s v="Stranger"/>
    <s v="Not Provided"/>
    <s v="Public Space"/>
    <x v="1"/>
    <s v="Not Provided"/>
    <s v="under investigation"/>
    <m/>
    <m/>
    <x v="1"/>
    <m/>
    <m/>
    <s v="Cheptais sub-county"/>
    <x v="3"/>
    <x v="2"/>
  </r>
  <r>
    <s v="Not Provided"/>
    <x v="6"/>
    <x v="4"/>
    <x v="0"/>
    <s v="Helen Namalwa"/>
    <n v="42"/>
    <m/>
    <s v="Not Provided"/>
    <s v="Boyfriend"/>
    <s v="Not Provided"/>
    <s v="Not Provided"/>
    <x v="3"/>
    <s v="Not Provided"/>
    <s v="Not Provided"/>
    <m/>
    <m/>
    <x v="1"/>
    <m/>
    <m/>
    <s v="Bungoma County"/>
    <x v="3"/>
    <x v="2"/>
  </r>
  <r>
    <s v="Tony Wafula"/>
    <x v="0"/>
    <x v="19"/>
    <x v="0"/>
    <s v="Margaret Kamanga"/>
    <m/>
    <m/>
    <s v="Gerald Kamanga"/>
    <s v="Husband"/>
    <s v="Intimate"/>
    <s v="home"/>
    <x v="2"/>
    <s v="Not Provided"/>
    <s v="under investigation"/>
    <m/>
    <m/>
    <x v="1"/>
    <m/>
    <m/>
    <s v="Wamunyiri village"/>
    <x v="3"/>
    <x v="2"/>
  </r>
  <r>
    <s v="Carolyne Kubwa"/>
    <x v="0"/>
    <x v="20"/>
    <x v="0"/>
    <s v="Eunice Ojuro"/>
    <m/>
    <m/>
    <s v="Julius Nyekenye Serikali"/>
    <s v="Husband"/>
    <s v="Intimate"/>
    <s v="home"/>
    <x v="2"/>
    <s v="Argument"/>
    <s v="Not Provided"/>
    <m/>
    <d v="2020-04-13T00:00:00"/>
    <x v="0"/>
    <m/>
    <n v="944"/>
    <s v="Esikulu village"/>
    <x v="4"/>
    <x v="2"/>
  </r>
  <r>
    <s v="Annette Wambulwa"/>
    <x v="0"/>
    <x v="21"/>
    <x v="0"/>
    <s v="Eunice Akisa"/>
    <m/>
    <m/>
    <s v="Antony Paste Obwalo"/>
    <s v="Husband"/>
    <s v="Intimate"/>
    <s v="home"/>
    <x v="2"/>
    <s v="Argument"/>
    <s v="Not Provided"/>
    <m/>
    <m/>
    <x v="0"/>
    <m/>
    <n v="308"/>
    <s v="Okwata village"/>
    <x v="4"/>
    <x v="2"/>
  </r>
  <r>
    <s v="Robert Amalemba"/>
    <x v="4"/>
    <x v="22"/>
    <x v="0"/>
    <s v="Caroline Nabwire"/>
    <m/>
    <m/>
    <s v="John Wandera"/>
    <s v="Boyfriend"/>
    <s v="Intimate"/>
    <s v="home"/>
    <x v="2"/>
    <s v="Not Provided"/>
    <s v="Ongoing hearing"/>
    <m/>
    <m/>
    <x v="1"/>
    <m/>
    <m/>
    <s v="Nasemwa village"/>
    <x v="4"/>
    <x v="2"/>
  </r>
  <r>
    <s v="Nathan Ochunge "/>
    <x v="7"/>
    <x v="23"/>
    <x v="0"/>
    <s v="Zipporah Nkirote"/>
    <m/>
    <d v="2021-05-06T00:00:00"/>
    <s v="Not Provided"/>
    <s v="Husband"/>
    <s v="Not Provided"/>
    <s v="home"/>
    <x v="4"/>
    <s v="Not Provided"/>
    <s v="Not Provided"/>
    <m/>
    <m/>
    <x v="1"/>
    <m/>
    <m/>
    <s v="Matayos Sub-County"/>
    <x v="4"/>
    <x v="2"/>
  </r>
  <r>
    <s v="Callistus Muga"/>
    <x v="1"/>
    <x v="24"/>
    <x v="0"/>
    <s v="Not Provided"/>
    <m/>
    <m/>
    <s v="Not Provided"/>
    <s v="Husband"/>
    <s v="Intimate"/>
    <s v="home"/>
    <x v="7"/>
    <s v="Argument"/>
    <s v="both are dead"/>
    <m/>
    <m/>
    <x v="1"/>
    <m/>
    <m/>
    <s v="Funyula"/>
    <x v="4"/>
    <x v="2"/>
  </r>
  <r>
    <s v=" Hilary Kimuyu"/>
    <x v="8"/>
    <x v="25"/>
    <x v="0"/>
    <s v="Mercy Chebet"/>
    <m/>
    <m/>
    <s v="Constable Maxwell Maina"/>
    <s v="Husband"/>
    <s v="Intimate"/>
    <s v="home"/>
    <x v="7"/>
    <s v="Not Provided"/>
    <s v="under investigation"/>
    <m/>
    <m/>
    <x v="1"/>
    <m/>
    <m/>
    <s v="Railways Police Lines"/>
    <x v="5"/>
    <x v="1"/>
  </r>
  <r>
    <s v="Stephen Rutto"/>
    <x v="0"/>
    <x v="26"/>
    <x v="0"/>
    <s v="Peris Jemaiyo"/>
    <n v="26"/>
    <m/>
    <s v="Richard Ruto"/>
    <s v="Husband"/>
    <s v="Intimate"/>
    <s v="home"/>
    <x v="4"/>
    <s v="Argument"/>
    <s v="under investigation"/>
    <m/>
    <m/>
    <x v="1"/>
    <m/>
    <m/>
    <s v="Marakwet East"/>
    <x v="6"/>
    <x v="1"/>
  </r>
  <r>
    <s v="Fred Kibor"/>
    <x v="4"/>
    <x v="27"/>
    <x v="0"/>
    <s v="Marion Cheruiyot"/>
    <n v="22"/>
    <m/>
    <s v="Josphat Cheruiyot"/>
    <s v="Husband"/>
    <s v="Intimate"/>
    <s v="home"/>
    <x v="1"/>
    <s v="Argument"/>
    <s v="under investigation"/>
    <m/>
    <m/>
    <x v="1"/>
    <m/>
    <m/>
    <s v="Boe Vilage"/>
    <x v="6"/>
    <x v="1"/>
  </r>
  <r>
    <s v="Mireri Junior"/>
    <x v="4"/>
    <x v="28"/>
    <x v="0"/>
    <s v="Not Provided"/>
    <n v="23"/>
    <d v="2021-05-20T00:00:00"/>
    <s v="Not Provided"/>
    <s v="Husband"/>
    <s v="Intimate"/>
    <s v="home"/>
    <x v="1"/>
    <s v="Argument"/>
    <s v="under investigation"/>
    <m/>
    <m/>
    <x v="1"/>
    <m/>
    <m/>
    <s v="Tambul village"/>
    <x v="6"/>
    <x v="1"/>
  </r>
  <r>
    <s v="Daily Nation"/>
    <x v="9"/>
    <x v="29"/>
    <x v="0"/>
    <s v="Agnes Tirop"/>
    <n v="25"/>
    <m/>
    <s v="Ibrahim Rotich"/>
    <s v="Husband"/>
    <s v="Intimate"/>
    <s v="home"/>
    <x v="4"/>
    <s v="Not Provided"/>
    <s v="Ongoing hearing"/>
    <d v="2021-10-18T00:00:00"/>
    <m/>
    <x v="1"/>
    <m/>
    <m/>
    <s v="Iten town"/>
    <x v="6"/>
    <x v="1"/>
  </r>
  <r>
    <s v="Stephen Rutto"/>
    <x v="4"/>
    <x v="30"/>
    <x v="0"/>
    <s v="Damaris Muthee"/>
    <m/>
    <m/>
    <s v="Eskanda Hailemariam"/>
    <s v="Boyfriend"/>
    <s v="Intimate"/>
    <s v="home"/>
    <x v="6"/>
    <s v="Not Provided"/>
    <s v="under investigation"/>
    <m/>
    <m/>
    <x v="1"/>
    <m/>
    <m/>
    <s v="Iten town"/>
    <x v="6"/>
    <x v="1"/>
  </r>
  <r>
    <s v="Bashir Mbuthia"/>
    <x v="2"/>
    <x v="31"/>
    <x v="0"/>
    <s v="Monica Jepto"/>
    <n v="38"/>
    <m/>
    <s v="Khadiri Khamisi"/>
    <s v="Husband"/>
    <s v="Not Provided"/>
    <s v="home"/>
    <x v="4"/>
    <s v="Not Provided"/>
    <s v="Not Provided"/>
    <m/>
    <m/>
    <x v="1"/>
    <m/>
    <m/>
    <s v="Iten"/>
    <x v="6"/>
    <x v="1"/>
  </r>
  <r>
    <s v="Anthony Ndwiga"/>
    <x v="1"/>
    <x v="32"/>
    <x v="0"/>
    <s v="Not Provided"/>
    <n v="80"/>
    <m/>
    <s v="Not Provided"/>
    <s v="Stranger"/>
    <s v="Non-intimate"/>
    <s v="home"/>
    <x v="8"/>
    <s v="Not Provided"/>
    <s v="under investigation"/>
    <m/>
    <m/>
    <x v="1"/>
    <m/>
    <m/>
    <s v="Kigumo Village"/>
    <x v="7"/>
    <x v="3"/>
  </r>
  <r>
    <s v="Reuben Githinji"/>
    <x v="0"/>
    <x v="33"/>
    <x v="0"/>
    <s v="Pauline Kagendo"/>
    <m/>
    <m/>
    <s v="Edwin Mwenda"/>
    <s v="Ex-Boyfriend"/>
    <s v="Intimate"/>
    <s v="home"/>
    <x v="3"/>
    <s v="Argument"/>
    <s v="Not Provided"/>
    <m/>
    <m/>
    <x v="1"/>
    <m/>
    <m/>
    <s v="Njarange village"/>
    <x v="7"/>
    <x v="3"/>
  </r>
  <r>
    <s v="Charles Wanyoro"/>
    <x v="5"/>
    <x v="34"/>
    <x v="0"/>
    <s v="Naomi Warunji"/>
    <n v="93"/>
    <m/>
    <s v="Not Provided"/>
    <s v="Stranger"/>
    <s v="Not Provided"/>
    <s v="home"/>
    <x v="4"/>
    <s v="Organized crime"/>
    <s v="under investigation"/>
    <m/>
    <m/>
    <x v="1"/>
    <m/>
    <m/>
    <s v="Gitumbi vilage"/>
    <x v="7"/>
    <x v="3"/>
  </r>
  <r>
    <s v="George Munene"/>
    <x v="5"/>
    <x v="35"/>
    <x v="0"/>
    <s v="Not Provided"/>
    <n v="44"/>
    <m/>
    <s v="Not Provided"/>
    <s v="Friend"/>
    <s v="Non-intimate"/>
    <s v="home"/>
    <x v="6"/>
    <s v="Not Provided"/>
    <s v="under investigation"/>
    <m/>
    <m/>
    <x v="1"/>
    <m/>
    <m/>
    <s v="Njigo village"/>
    <x v="7"/>
    <x v="3"/>
  </r>
  <r>
    <s v="Reuben Githinji"/>
    <x v="0"/>
    <x v="36"/>
    <x v="0"/>
    <s v="Janet Wambeti Njogu"/>
    <n v="58"/>
    <m/>
    <s v="Not Provided"/>
    <s v="Stranger"/>
    <s v="Not Provided"/>
    <s v="Public Space"/>
    <x v="8"/>
    <s v="Not Provided"/>
    <s v="under investigation"/>
    <m/>
    <m/>
    <x v="1"/>
    <m/>
    <m/>
    <s v="Karurina"/>
    <x v="7"/>
    <x v="3"/>
  </r>
  <r>
    <s v="Not Provided"/>
    <x v="5"/>
    <x v="37"/>
    <x v="0"/>
    <s v="Teresa Muthoni"/>
    <m/>
    <m/>
    <s v="Not Provided"/>
    <s v="Husband"/>
    <s v="Intimate"/>
    <s v="home"/>
    <x v="4"/>
    <s v="Argument"/>
    <s v="under investigation"/>
    <m/>
    <m/>
    <x v="1"/>
    <m/>
    <m/>
    <s v="Mbeere"/>
    <x v="7"/>
    <x v="3"/>
  </r>
  <r>
    <s v="Cyrus Ombati"/>
    <x v="0"/>
    <x v="38"/>
    <x v="0"/>
    <s v="Not Provided"/>
    <n v="28"/>
    <m/>
    <s v="Not Provided"/>
    <s v="Husband"/>
    <s v="Intimate"/>
    <s v="home"/>
    <x v="2"/>
    <s v="Not Provided"/>
    <s v="under investigation"/>
    <m/>
    <m/>
    <x v="1"/>
    <m/>
    <m/>
    <s v="Kiamukuyu area"/>
    <x v="7"/>
    <x v="3"/>
  </r>
  <r>
    <s v="Muriithi Mugo"/>
    <x v="4"/>
    <x v="39"/>
    <x v="0"/>
    <s v="Rosemary Nyaga"/>
    <n v="39"/>
    <m/>
    <s v="Dennis Munene"/>
    <s v="Boyfriend"/>
    <s v="Intimate"/>
    <s v="home"/>
    <x v="6"/>
    <s v="Argument"/>
    <s v="Not Provided"/>
    <m/>
    <d v="2021-12-09T00:00:00"/>
    <x v="0"/>
    <n v="7"/>
    <n v="182"/>
    <s v="Kavaruka village"/>
    <x v="7"/>
    <x v="3"/>
  </r>
  <r>
    <s v="Muriithi Mugo"/>
    <x v="4"/>
    <x v="40"/>
    <x v="0"/>
    <s v="Nancy Muthoni"/>
    <n v="46"/>
    <m/>
    <s v="Luka Njue"/>
    <s v="Husband"/>
    <s v="Intimate"/>
    <s v="home"/>
    <x v="4"/>
    <s v="Argument"/>
    <s v="under investigation"/>
    <m/>
    <m/>
    <x v="1"/>
    <m/>
    <m/>
    <s v="Thau village"/>
    <x v="7"/>
    <x v="3"/>
  </r>
  <r>
    <s v="George Munene"/>
    <x v="5"/>
    <x v="41"/>
    <x v="0"/>
    <s v=" Josephine Karimi"/>
    <n v="24"/>
    <m/>
    <s v="Boniface Yakulula"/>
    <s v="Friend"/>
    <s v="Non-intimate"/>
    <s v="Public Space"/>
    <x v="3"/>
    <s v="Not Provided"/>
    <s v="under investigation"/>
    <m/>
    <m/>
    <x v="1"/>
    <m/>
    <m/>
    <s v="Kiaragana"/>
    <x v="7"/>
    <x v="3"/>
  </r>
  <r>
    <s v="Cyrus Ombati"/>
    <x v="0"/>
    <x v="42"/>
    <x v="0"/>
    <s v="Nasimiyu"/>
    <n v="22"/>
    <m/>
    <s v="Martin Wekesa"/>
    <s v="Husband"/>
    <s v="Intimate"/>
    <s v="home"/>
    <x v="2"/>
    <s v="jealousy"/>
    <s v="under investigation"/>
    <m/>
    <m/>
    <x v="1"/>
    <m/>
    <m/>
    <s v="Garissa town"/>
    <x v="8"/>
    <x v="4"/>
  </r>
  <r>
    <s v="Robert Omollo"/>
    <x v="0"/>
    <x v="43"/>
    <x v="0"/>
    <s v="Eunice Atieno Olal"/>
    <m/>
    <m/>
    <s v="Albert Odhiambo Odongo"/>
    <s v="Husband"/>
    <s v="Intimate"/>
    <s v="home"/>
    <x v="2"/>
    <s v="Argument"/>
    <s v="Not Provided"/>
    <m/>
    <d v="2019-02-27T00:00:00"/>
    <x v="0"/>
    <n v="12"/>
    <n v="1361"/>
    <s v="Kotieno village"/>
    <x v="9"/>
    <x v="5"/>
  </r>
  <r>
    <s v="Ruth Mbula"/>
    <x v="5"/>
    <x v="44"/>
    <x v="0"/>
    <s v="Sharon Otieno"/>
    <n v="26"/>
    <m/>
    <s v="Okoth bado"/>
    <s v="Boyfriend"/>
    <s v="Intimate"/>
    <s v="Public Space"/>
    <x v="4"/>
    <s v="divorce"/>
    <s v="Ongoing hearing"/>
    <d v="2018-09-27T00:00:00"/>
    <m/>
    <x v="1"/>
    <m/>
    <m/>
    <s v="Rachuonyo"/>
    <x v="9"/>
    <x v="5"/>
  </r>
  <r>
    <s v="Nation Reporter"/>
    <x v="5"/>
    <x v="45"/>
    <x v="0"/>
    <s v="Phoebe Kamire"/>
    <n v="38"/>
    <m/>
    <s v="Ben Mancha"/>
    <s v="Husband"/>
    <s v="Intimate"/>
    <s v="home"/>
    <x v="3"/>
    <s v="Argument"/>
    <s v="under investigation"/>
    <m/>
    <m/>
    <x v="1"/>
    <m/>
    <m/>
    <s v="Shauriyako house"/>
    <x v="9"/>
    <x v="5"/>
  </r>
  <r>
    <s v="George Odiwuor"/>
    <x v="5"/>
    <x v="46"/>
    <x v="0"/>
    <s v="Beryl Atieno"/>
    <n v="18"/>
    <m/>
    <s v="Paul Ochieng"/>
    <s v="Boyfriend"/>
    <s v="Intimate"/>
    <s v="home"/>
    <x v="2"/>
    <s v="breakup"/>
    <s v="under investigation"/>
    <m/>
    <m/>
    <x v="1"/>
    <m/>
    <m/>
    <s v="Kobita"/>
    <x v="9"/>
    <x v="5"/>
  </r>
  <r>
    <s v="George Odiwuor"/>
    <x v="5"/>
    <x v="47"/>
    <x v="0"/>
    <s v="Susan Adhiambo Otieno"/>
    <m/>
    <m/>
    <s v="Joshua Obembi"/>
    <s v="Boyfriend"/>
    <s v="Intimate"/>
    <s v="home"/>
    <x v="4"/>
    <s v="jealousy"/>
    <s v="under investigation"/>
    <m/>
    <m/>
    <x v="1"/>
    <m/>
    <m/>
    <s v="Ogongo Tir village"/>
    <x v="9"/>
    <x v="5"/>
  </r>
  <r>
    <s v="James Omoro"/>
    <x v="7"/>
    <x v="4"/>
    <x v="0"/>
    <s v="Eunice Aoko"/>
    <n v="25"/>
    <m/>
    <s v="Not Provided"/>
    <s v="Stranger"/>
    <s v="Not Provided"/>
    <s v="Public Space"/>
    <x v="8"/>
    <s v="Not Provided"/>
    <s v="Not Provided"/>
    <m/>
    <m/>
    <x v="1"/>
    <m/>
    <m/>
    <s v="Lwala Sub Location"/>
    <x v="9"/>
    <x v="5"/>
  </r>
  <r>
    <s v="Robert Omollo"/>
    <x v="0"/>
    <x v="48"/>
    <x v="0"/>
    <s v="Mary Kwamboka"/>
    <n v="28"/>
    <m/>
    <s v="Not Provided"/>
    <s v="Boyfriend"/>
    <s v="Intimate"/>
    <s v="home"/>
    <x v="4"/>
    <s v="jealousy"/>
    <s v="under investigation"/>
    <m/>
    <m/>
    <x v="1"/>
    <m/>
    <m/>
    <s v="Rodi Kopany"/>
    <x v="9"/>
    <x v="5"/>
  </r>
  <r>
    <s v="Robert Omollo"/>
    <x v="0"/>
    <x v="49"/>
    <x v="0"/>
    <s v="Milca Mwangi"/>
    <n v="48"/>
    <m/>
    <s v="Bernard Ouma"/>
    <s v="Husband"/>
    <s v="Intimate"/>
    <s v="Public Space"/>
    <x v="8"/>
    <s v="Not Provided"/>
    <s v="under investigation"/>
    <m/>
    <m/>
    <x v="1"/>
    <m/>
    <m/>
    <s v="Got Rateng"/>
    <x v="9"/>
    <x v="5"/>
  </r>
  <r>
    <s v="Not Provided"/>
    <x v="10"/>
    <x v="50"/>
    <x v="0"/>
    <s v="Michel Awuor "/>
    <n v="23"/>
    <m/>
    <s v="Not Provided"/>
    <s v="Husband"/>
    <s v="Intimate"/>
    <s v="home"/>
    <x v="1"/>
    <s v="Not Provided"/>
    <s v="under investigation"/>
    <m/>
    <m/>
    <x v="1"/>
    <m/>
    <m/>
    <s v="Kodwar B village"/>
    <x v="9"/>
    <x v="5"/>
  </r>
  <r>
    <s v="James Omoro"/>
    <x v="4"/>
    <x v="51"/>
    <x v="0"/>
    <s v="Linda Olero"/>
    <m/>
    <m/>
    <s v="Geoffrey Plero"/>
    <s v="Husband"/>
    <s v="Intimate"/>
    <s v="home"/>
    <x v="2"/>
    <s v="Argument"/>
    <s v="Not Provided"/>
    <m/>
    <d v="2018-08-06T00:00:00"/>
    <x v="0"/>
    <n v="20"/>
    <n v="565"/>
    <s v="Koluoch village"/>
    <x v="9"/>
    <x v="5"/>
  </r>
  <r>
    <s v="James Omoro"/>
    <x v="4"/>
    <x v="52"/>
    <x v="0"/>
    <s v="Maureen Akinyi"/>
    <n v="22"/>
    <m/>
    <s v="Not Provided"/>
    <s v="Stranger"/>
    <s v="Intimate"/>
    <s v="home"/>
    <x v="1"/>
    <s v="breakup"/>
    <s v="under investigation"/>
    <m/>
    <m/>
    <x v="1"/>
    <m/>
    <m/>
    <s v="Kanyadhere village"/>
    <x v="9"/>
    <x v="5"/>
  </r>
  <r>
    <s v="James Omoro"/>
    <x v="4"/>
    <x v="53"/>
    <x v="0"/>
    <s v="Not Provided"/>
    <m/>
    <m/>
    <s v="Not Provided"/>
    <s v="Husband"/>
    <s v="Intimate"/>
    <s v="home"/>
    <x v="2"/>
    <s v="Not Provided"/>
    <s v="under investigation"/>
    <m/>
    <m/>
    <x v="1"/>
    <m/>
    <m/>
    <s v="Rachuonyo"/>
    <x v="9"/>
    <x v="5"/>
  </r>
  <r>
    <s v="James Omoro"/>
    <x v="7"/>
    <x v="54"/>
    <x v="0"/>
    <s v="Mary Achieng"/>
    <n v="16"/>
    <m/>
    <s v="Not Provided"/>
    <s v="Stranger"/>
    <s v="Not Provided"/>
    <s v="home"/>
    <x v="8"/>
    <s v="Not Provided"/>
    <s v="Not Provided"/>
    <m/>
    <m/>
    <x v="1"/>
    <m/>
    <m/>
    <s v="Waiga B village"/>
    <x v="9"/>
    <x v="5"/>
  </r>
  <r>
    <s v="James Omoro"/>
    <x v="7"/>
    <x v="55"/>
    <x v="0"/>
    <s v="Emily Chepkemboiâ€™"/>
    <m/>
    <m/>
    <s v="Not Provided"/>
    <s v="Stranger"/>
    <s v="Not Provided"/>
    <s v="home"/>
    <x v="4"/>
    <s v="Not Provided"/>
    <s v="Not Provided"/>
    <m/>
    <m/>
    <x v="1"/>
    <m/>
    <m/>
    <s v="Homabay County"/>
    <x v="9"/>
    <x v="5"/>
  </r>
  <r>
    <s v="Gitonga Marete"/>
    <x v="5"/>
    <x v="56"/>
    <x v="0"/>
    <s v="Winfred Opha"/>
    <m/>
    <m/>
    <s v="Not Provided"/>
    <s v="Boyfriend"/>
    <s v="Intimate"/>
    <s v="Public Space"/>
    <x v="4"/>
    <s v="found her in the company of another man, a fight broke out"/>
    <s v="under investigation"/>
    <m/>
    <m/>
    <x v="3"/>
    <m/>
    <m/>
    <s v="Kanyakine"/>
    <x v="10"/>
    <x v="3"/>
  </r>
  <r>
    <s v="Ali Abdi"/>
    <x v="7"/>
    <x v="57"/>
    <x v="0"/>
    <s v="Not Provided"/>
    <n v="21"/>
    <m/>
    <s v="Timothy Mbogo"/>
    <s v="Stranger"/>
    <s v="Intimate"/>
    <s v="Public Space"/>
    <x v="4"/>
    <s v="Argument"/>
    <s v="under investigation"/>
    <m/>
    <m/>
    <x v="1"/>
    <m/>
    <m/>
    <s v="Odha estate"/>
    <x v="11"/>
    <x v="3"/>
  </r>
  <r>
    <s v="Vivian Jebet"/>
    <x v="5"/>
    <x v="58"/>
    <x v="0"/>
    <s v="Not Provided"/>
    <m/>
    <m/>
    <s v="Not Provided"/>
    <s v="Boyfriend"/>
    <s v="Intimate"/>
    <s v="home"/>
    <x v="7"/>
    <s v="Argument"/>
    <s v="under investigation"/>
    <m/>
    <m/>
    <x v="1"/>
    <m/>
    <m/>
    <s v="Isiolo town"/>
    <x v="11"/>
    <x v="3"/>
  </r>
  <r>
    <s v="Waweru Wairimu"/>
    <x v="5"/>
    <x v="59"/>
    <x v="0"/>
    <s v="Not Provided"/>
    <m/>
    <d v="2020-05-03T00:00:00"/>
    <s v="David Karingori"/>
    <s v="Husband"/>
    <s v="Intimate"/>
    <s v="home"/>
    <x v="1"/>
    <s v="Argument"/>
    <s v="under investigation"/>
    <m/>
    <m/>
    <x v="1"/>
    <m/>
    <m/>
    <s v="Kangutu"/>
    <x v="11"/>
    <x v="3"/>
  </r>
  <r>
    <s v="By _x000a_ Waweru Wairimu"/>
    <x v="11"/>
    <x v="60"/>
    <x v="0"/>
    <s v="Celestine Nduku kioko"/>
    <n v="26"/>
    <m/>
    <s v="Erick Mutwiri Mwenda"/>
    <s v="Ex-Husband"/>
    <s v="Intimate"/>
    <s v="home"/>
    <x v="4"/>
    <s v="Argument"/>
    <s v="Ongoing hearing"/>
    <d v="2021-04-12T00:00:00"/>
    <m/>
    <x v="1"/>
    <m/>
    <m/>
    <s v="Kambi ya juu"/>
    <x v="11"/>
    <x v="3"/>
  </r>
  <r>
    <s v="Kurgat Marindany"/>
    <x v="0"/>
    <x v="61"/>
    <x v="0"/>
    <s v="Salome Kanini"/>
    <m/>
    <m/>
    <s v="Stanely Nduati"/>
    <s v="Husband"/>
    <s v="Intimate"/>
    <s v="home"/>
    <x v="5"/>
    <s v="Argument"/>
    <s v="Ongoing Court Proceedings"/>
    <d v="2018-01-05T00:00:00"/>
    <m/>
    <x v="1"/>
    <m/>
    <m/>
    <s v="Ongata Rongai"/>
    <x v="12"/>
    <x v="1"/>
  </r>
  <r>
    <s v="Kurgat Marindany"/>
    <x v="0"/>
    <x v="62"/>
    <x v="0"/>
    <s v="Priscilla Wangeci"/>
    <m/>
    <m/>
    <s v="Not Provided"/>
    <s v="Stranger"/>
    <s v="Non-intimate"/>
    <s v="home"/>
    <x v="6"/>
    <s v="Not Provided"/>
    <s v="under investigation"/>
    <m/>
    <m/>
    <x v="1"/>
    <m/>
    <m/>
    <s v="Ongata Rongai"/>
    <x v="12"/>
    <x v="1"/>
  </r>
  <r>
    <s v="Kinyuru Munuhe"/>
    <x v="12"/>
    <x v="63"/>
    <x v="0"/>
    <s v="Florence Okwach"/>
    <n v="32"/>
    <m/>
    <s v="Richard Muchesia"/>
    <s v="Husband"/>
    <s v="Intimate"/>
    <s v="home"/>
    <x v="7"/>
    <s v="Argument"/>
    <s v="both are dead"/>
    <m/>
    <m/>
    <x v="1"/>
    <m/>
    <m/>
    <s v="Ongata Rongai"/>
    <x v="12"/>
    <x v="1"/>
  </r>
  <r>
    <s v="Peterson Githaiga"/>
    <x v="7"/>
    <x v="4"/>
    <x v="0"/>
    <s v="Not Provided"/>
    <m/>
    <m/>
    <s v="Not Provided"/>
    <s v="Boyfriend"/>
    <s v="Intimate"/>
    <s v="home"/>
    <x v="6"/>
    <s v="Not Provided"/>
    <s v="Not Provided"/>
    <m/>
    <m/>
    <x v="1"/>
    <m/>
    <m/>
    <s v="Kitengela"/>
    <x v="12"/>
    <x v="1"/>
  </r>
  <r>
    <s v="Kurgat Marindany"/>
    <x v="0"/>
    <x v="64"/>
    <x v="0"/>
    <s v="Mary Wnjiku"/>
    <n v="32"/>
    <m/>
    <s v="David Kariuki"/>
    <s v="Husband"/>
    <s v="Intimate"/>
    <s v="home"/>
    <x v="4"/>
    <s v="jealousy"/>
    <s v="both are dead"/>
    <d v="2020-12-10T00:00:00"/>
    <m/>
    <x v="1"/>
    <m/>
    <m/>
    <s v="Ngong"/>
    <x v="12"/>
    <x v="1"/>
  </r>
  <r>
    <s v="Cyrus Ombati"/>
    <x v="0"/>
    <x v="65"/>
    <x v="0"/>
    <s v="Caroline Wanjiku"/>
    <n v="38"/>
    <m/>
    <s v="Not Provided"/>
    <s v="Stranger"/>
    <s v="Not Provided"/>
    <s v="Public Space"/>
    <x v="2"/>
    <s v="Argument"/>
    <s v="under investigation"/>
    <m/>
    <m/>
    <x v="1"/>
    <m/>
    <m/>
    <s v="Not Provided"/>
    <x v="12"/>
    <x v="1"/>
  </r>
  <r>
    <s v="By _x000a_ Vincent Achuka_x000a_ And _x000a_ Brian Wasuna"/>
    <x v="11"/>
    <x v="66"/>
    <x v="0"/>
    <s v="Jennifer Wambua"/>
    <m/>
    <m/>
    <s v="Peter Njenga"/>
    <s v="Stranger"/>
    <s v="Non-intimate"/>
    <s v="Public Space"/>
    <x v="6"/>
    <s v="Not Provided"/>
    <s v="Ongoing hearing"/>
    <d v="2021-04-26T00:00:00"/>
    <m/>
    <x v="1"/>
    <m/>
    <m/>
    <s v="Kerarapon Ngong"/>
    <x v="12"/>
    <x v="1"/>
  </r>
  <r>
    <s v="Peterson Githaiga And Fred Kagonye "/>
    <x v="7"/>
    <x v="67"/>
    <x v="0"/>
    <s v="Cynthia Chesang Chepkuto."/>
    <n v="33"/>
    <m/>
    <s v="Renald Kamerima Allan"/>
    <s v="Husband"/>
    <s v="Not Provided"/>
    <s v="home"/>
    <x v="2"/>
    <s v="Not Provided"/>
    <s v="Not Provided"/>
    <m/>
    <m/>
    <x v="1"/>
    <m/>
    <m/>
    <s v="Dumpsite"/>
    <x v="12"/>
    <x v="1"/>
  </r>
  <r>
    <s v="Peterson Githaiga"/>
    <x v="7"/>
    <x v="68"/>
    <x v="0"/>
    <s v="Ann Njeri"/>
    <n v="33"/>
    <m/>
    <s v="Not Provided"/>
    <s v="Husband"/>
    <s v="Not Provided"/>
    <s v="home"/>
    <x v="3"/>
    <s v="Not Provided"/>
    <s v="Not Provided"/>
    <m/>
    <m/>
    <x v="1"/>
    <m/>
    <m/>
    <s v="Kitengela"/>
    <x v="12"/>
    <x v="1"/>
  </r>
  <r>
    <s v="George Njunge"/>
    <x v="4"/>
    <x v="69"/>
    <x v="0"/>
    <s v="Faith Njambi"/>
    <n v="26"/>
    <m/>
    <s v="Samuel Mbugua"/>
    <s v="Ex-Husband"/>
    <s v="Intimate"/>
    <s v="home"/>
    <x v="4"/>
    <s v="Argument"/>
    <s v="under investigation"/>
    <m/>
    <m/>
    <x v="1"/>
    <m/>
    <m/>
    <s v="Rongai"/>
    <x v="12"/>
    <x v="1"/>
  </r>
  <r>
    <s v="Stanley Ngotho"/>
    <x v="5"/>
    <x v="70"/>
    <x v="0"/>
    <s v="Not Provided"/>
    <n v="6"/>
    <m/>
    <s v="Not Provided"/>
    <s v="Stranger"/>
    <s v="Non-intimate"/>
    <s v="Other"/>
    <x v="3"/>
    <s v="Not Provided"/>
    <s v="under investigation"/>
    <m/>
    <m/>
    <x v="1"/>
    <m/>
    <m/>
    <s v="Maili Tisa village in Loitokitok"/>
    <x v="12"/>
    <x v="1"/>
  </r>
  <r>
    <s v="Stanley Ngotho"/>
    <x v="5"/>
    <x v="71"/>
    <x v="0"/>
    <s v="Gertrude Wayua Mutiso_x000a_"/>
    <n v="22"/>
    <m/>
    <s v="Patrick Kioko"/>
    <s v="Boyfriend"/>
    <s v="Intimate"/>
    <s v="Public Space"/>
    <x v="4"/>
    <s v="Woman dumped him"/>
    <s v="under investigation"/>
    <m/>
    <m/>
    <x v="1"/>
    <m/>
    <m/>
    <s v="Kitengela"/>
    <x v="12"/>
    <x v="1"/>
  </r>
  <r>
    <s v="Cyrus Ombati"/>
    <x v="0"/>
    <x v="72"/>
    <x v="0"/>
    <s v="Not Provided"/>
    <m/>
    <m/>
    <s v="Not Provided"/>
    <s v="Stranger"/>
    <s v="Not Provided"/>
    <s v="Public Space"/>
    <x v="8"/>
    <s v="robbery with violence"/>
    <s v="under investigation"/>
    <m/>
    <m/>
    <x v="1"/>
    <m/>
    <m/>
    <s v="Kiwanjani area"/>
    <x v="12"/>
    <x v="1"/>
  </r>
  <r>
    <s v="Jack Murima"/>
    <x v="4"/>
    <x v="73"/>
    <x v="0"/>
    <s v="Selina Ikambi Anasi"/>
    <n v="79"/>
    <m/>
    <s v="Wilson Masiko Mungasia"/>
    <s v="Family Member"/>
    <s v="Non-intimate"/>
    <s v="Public Space"/>
    <x v="1"/>
    <s v="Not Provided"/>
    <s v="Not Provided"/>
    <m/>
    <d v="2018-10-28T00:00:00"/>
    <x v="0"/>
    <m/>
    <n v="2817"/>
    <s v="Mituri village"/>
    <x v="13"/>
    <x v="2"/>
  </r>
  <r>
    <s v="John Shilitsa"/>
    <x v="4"/>
    <x v="74"/>
    <x v="0"/>
    <s v="Margret Khayere"/>
    <m/>
    <m/>
    <s v="Not Provided"/>
    <s v="Friend"/>
    <s v="Non-intimate"/>
    <s v="home"/>
    <x v="1"/>
    <s v="Not Provided"/>
    <s v="under investigation"/>
    <m/>
    <m/>
    <x v="1"/>
    <m/>
    <m/>
    <s v="Mwamba Village"/>
    <x v="13"/>
    <x v="2"/>
  </r>
  <r>
    <s v="Jackline Inyanji"/>
    <x v="4"/>
    <x v="75"/>
    <x v="0"/>
    <s v="Not Provided"/>
    <n v="10"/>
    <m/>
    <s v="Not Provided"/>
    <s v="Stranger"/>
    <s v="Not Provided"/>
    <s v="Public Space"/>
    <x v="3"/>
    <s v="Not Provided"/>
    <s v="under investigation"/>
    <m/>
    <m/>
    <x v="1"/>
    <m/>
    <m/>
    <s v="Mukhonje village"/>
    <x v="13"/>
    <x v="2"/>
  </r>
  <r>
    <s v="Shaban Makokha"/>
    <x v="5"/>
    <x v="76"/>
    <x v="0"/>
    <s v="Not Provided"/>
    <n v="37"/>
    <m/>
    <s v="Not Provided"/>
    <s v="Husband"/>
    <s v="Intimate"/>
    <s v="Public Space"/>
    <x v="4"/>
    <s v="jealousy"/>
    <s v="under investigation"/>
    <m/>
    <m/>
    <x v="1"/>
    <m/>
    <m/>
    <s v="Shieywe Ward"/>
    <x v="13"/>
    <x v="2"/>
  </r>
  <r>
    <s v="Nathan Ochunge"/>
    <x v="4"/>
    <x v="77"/>
    <x v="0"/>
    <s v="Mollyne Lubanga"/>
    <n v="34"/>
    <m/>
    <s v="Not Provided"/>
    <s v="Husband"/>
    <s v="Intimate"/>
    <s v="home"/>
    <x v="4"/>
    <s v="Argument"/>
    <s v="under investigation"/>
    <m/>
    <m/>
    <x v="1"/>
    <m/>
    <m/>
    <s v="Lunyelelia village"/>
    <x v="13"/>
    <x v="2"/>
  </r>
  <r>
    <s v="Not Provided"/>
    <x v="3"/>
    <x v="4"/>
    <x v="0"/>
    <s v="Susan Mirimo Musa"/>
    <m/>
    <m/>
    <s v="Not Provided"/>
    <s v="Husband"/>
    <s v="Not Provided"/>
    <s v="Not Provided"/>
    <x v="3"/>
    <s v="Not Provided"/>
    <s v="Not Provided"/>
    <m/>
    <m/>
    <x v="1"/>
    <m/>
    <m/>
    <s v="Kakamega County"/>
    <x v="13"/>
    <x v="2"/>
  </r>
  <r>
    <s v="Not Provided"/>
    <x v="13"/>
    <x v="4"/>
    <x v="0"/>
    <s v="Daphine Maloba"/>
    <m/>
    <m/>
    <s v="Not Provided"/>
    <s v="Husband"/>
    <s v="Not Provided"/>
    <s v="Not Provided"/>
    <x v="3"/>
    <s v="Not Provided"/>
    <s v="Not Provided"/>
    <m/>
    <m/>
    <x v="1"/>
    <m/>
    <m/>
    <s v="Kakamega County"/>
    <x v="13"/>
    <x v="2"/>
  </r>
  <r>
    <s v="Not Provided"/>
    <x v="3"/>
    <x v="4"/>
    <x v="0"/>
    <s v="Carolyne Anota Mukutu"/>
    <m/>
    <m/>
    <s v="Not Provided"/>
    <s v="Boyfriend"/>
    <s v="Not Provided"/>
    <s v="Not Provided"/>
    <x v="3"/>
    <s v="Not Provided"/>
    <s v="Not Provided"/>
    <m/>
    <m/>
    <x v="1"/>
    <m/>
    <m/>
    <s v="Kakamega County"/>
    <x v="13"/>
    <x v="2"/>
  </r>
  <r>
    <s v="Benson Amadala"/>
    <x v="5"/>
    <x v="78"/>
    <x v="0"/>
    <s v="Christine Maonga"/>
    <m/>
    <m/>
    <s v="Patrick Nyapara"/>
    <s v="Boyfriend"/>
    <s v="Intimate"/>
    <s v="home"/>
    <x v="7"/>
    <s v="Argument"/>
    <s v="Ongoing hearing"/>
    <d v="2019-03-18T00:00:00"/>
    <m/>
    <x v="1"/>
    <m/>
    <m/>
    <s v="Navakholo"/>
    <x v="13"/>
    <x v="2"/>
  </r>
  <r>
    <s v="Not Provided"/>
    <x v="4"/>
    <x v="79"/>
    <x v="0"/>
    <s v="Petrolina Mungayi"/>
    <n v="40"/>
    <d v="2019-05-07T00:00:00"/>
    <s v="Not Provided"/>
    <s v="Stranger"/>
    <s v="Non-intimate"/>
    <s v="home"/>
    <x v="1"/>
    <s v="Not Provided"/>
    <s v="under investigation"/>
    <m/>
    <m/>
    <x v="1"/>
    <m/>
    <m/>
    <s v="Ejinja Matungu"/>
    <x v="13"/>
    <x v="2"/>
  </r>
  <r>
    <s v="Benson Amadala"/>
    <x v="5"/>
    <x v="80"/>
    <x v="0"/>
    <s v="Metrine Naimiyu"/>
    <n v="29"/>
    <m/>
    <s v="Noah Inyangala"/>
    <s v="Husband"/>
    <s v="Intimate"/>
    <s v="home"/>
    <x v="4"/>
    <s v="jealousy"/>
    <s v="under investigation"/>
    <m/>
    <m/>
    <x v="1"/>
    <m/>
    <m/>
    <s v="Mawe tatu"/>
    <x v="13"/>
    <x v="2"/>
  </r>
  <r>
    <s v=" Abel Amala"/>
    <x v="14"/>
    <x v="4"/>
    <x v="0"/>
    <s v="Florence Nakonjio"/>
    <n v="44"/>
    <m/>
    <s v="Joseph Boyi Shiro"/>
    <s v="Husband"/>
    <s v="Intimate"/>
    <s v="home"/>
    <x v="1"/>
    <s v="Denying him conjugal rights"/>
    <s v="Not Provided"/>
    <m/>
    <m/>
    <x v="1"/>
    <m/>
    <m/>
    <s v="Emukaya Village in Lurambi"/>
    <x v="13"/>
    <x v="2"/>
  </r>
  <r>
    <s v="_x000a_Mumo Munuve"/>
    <x v="7"/>
    <x v="81"/>
    <x v="0"/>
    <s v="Virginia Khavakali"/>
    <n v="35"/>
    <m/>
    <s v="Wycliffe Khamasi,"/>
    <s v="Husband"/>
    <s v="Not Provided"/>
    <s v="home"/>
    <x v="4"/>
    <s v="Not Provided"/>
    <s v="Not Provided"/>
    <m/>
    <m/>
    <x v="1"/>
    <m/>
    <m/>
    <s v="Madala Village in Shinyalu"/>
    <x v="13"/>
    <x v="2"/>
  </r>
  <r>
    <s v="Winfrey Owino"/>
    <x v="4"/>
    <x v="82"/>
    <x v="0"/>
    <s v="Not Provided"/>
    <m/>
    <m/>
    <s v="Not Provided"/>
    <s v="Stranger"/>
    <s v="Non-intimate"/>
    <s v="Public Space"/>
    <x v="8"/>
    <s v="Not Provided"/>
    <s v="under investigation"/>
    <m/>
    <m/>
    <x v="1"/>
    <m/>
    <m/>
    <s v="Kakamega town"/>
    <x v="13"/>
    <x v="2"/>
  </r>
  <r>
    <s v="Benard Lusigi"/>
    <x v="4"/>
    <x v="83"/>
    <x v="0"/>
    <s v="Lydia Khachiti"/>
    <n v="22"/>
    <m/>
    <s v="Not Provided"/>
    <s v="Husband"/>
    <s v="Intimate"/>
    <s v="home"/>
    <x v="6"/>
    <s v="jealousy"/>
    <s v="under investigation"/>
    <m/>
    <m/>
    <x v="1"/>
    <m/>
    <m/>
    <s v="Shirere village"/>
    <x v="13"/>
    <x v="2"/>
  </r>
  <r>
    <s v="Martin Bulimu"/>
    <x v="1"/>
    <x v="84"/>
    <x v="0"/>
    <s v="Rose Atieno"/>
    <n v="54"/>
    <m/>
    <s v="Not Provided"/>
    <s v="Husband"/>
    <s v="Intimate"/>
    <s v="Other"/>
    <x v="2"/>
    <s v="Accused of infidelity"/>
    <s v="under investigation"/>
    <m/>
    <m/>
    <x v="1"/>
    <m/>
    <m/>
    <s v="Navakholo"/>
    <x v="13"/>
    <x v="2"/>
  </r>
  <r>
    <s v="Bernard Lusigi"/>
    <x v="7"/>
    <x v="85"/>
    <x v="0"/>
    <s v="Consolata Masitsa"/>
    <n v="38"/>
    <m/>
    <s v="Solomon Isaiah"/>
    <s v="Husband"/>
    <s v="Intimate"/>
    <s v="home"/>
    <x v="3"/>
    <s v="man claimed that his wife was having extramarital affairs"/>
    <s v="Murder-suicide"/>
    <m/>
    <m/>
    <x v="1"/>
    <m/>
    <m/>
    <s v="Lukume area"/>
    <x v="13"/>
    <x v="2"/>
  </r>
  <r>
    <s v="Brian Salil"/>
    <x v="0"/>
    <x v="86"/>
    <x v="0"/>
    <s v="Rose Cherono "/>
    <n v="53"/>
    <m/>
    <s v="Zackaria Ngâ€™asura"/>
    <s v="Husband"/>
    <s v="Intimate"/>
    <s v="home"/>
    <x v="4"/>
    <s v="Not Provided"/>
    <s v="under investigation"/>
    <m/>
    <m/>
    <x v="1"/>
    <m/>
    <m/>
    <s v="Kiprambu in Chepkumia"/>
    <x v="14"/>
    <x v="1"/>
  </r>
  <r>
    <s v="Nikko Tanui"/>
    <x v="4"/>
    <x v="87"/>
    <x v="0"/>
    <s v="Faith Chepngeno Kirui"/>
    <m/>
    <m/>
    <s v="Wiberforce Kirui"/>
    <s v="Husband"/>
    <s v="Intimate"/>
    <s v="home"/>
    <x v="6"/>
    <s v="Argument"/>
    <s v="Not Provided"/>
    <d v="2014-03-27T00:00:00"/>
    <d v="2018-11-29T00:00:00"/>
    <x v="0"/>
    <m/>
    <n v="1714"/>
    <s v="Kabitungu village"/>
    <x v="15"/>
    <x v="1"/>
  </r>
  <r>
    <s v="Nikko Tonui"/>
    <x v="7"/>
    <x v="57"/>
    <x v="0"/>
    <s v="Kobia Maina"/>
    <n v="26"/>
    <m/>
    <s v="Not Provided"/>
    <s v="Husband"/>
    <s v="Intimate"/>
    <s v="home"/>
    <x v="4"/>
    <s v="jealousy"/>
    <s v="under investigation"/>
    <m/>
    <m/>
    <x v="1"/>
    <m/>
    <m/>
    <s v="Kedowa"/>
    <x v="15"/>
    <x v="1"/>
  </r>
  <r>
    <s v="Nikko Tanui"/>
    <x v="4"/>
    <x v="88"/>
    <x v="0"/>
    <s v="Not Provided"/>
    <n v="28"/>
    <m/>
    <s v="Gideon Cheruiyot"/>
    <s v="Husband"/>
    <s v="Intimate"/>
    <s v="home"/>
    <x v="1"/>
    <s v="Argument"/>
    <s v="under investigation"/>
    <m/>
    <m/>
    <x v="1"/>
    <m/>
    <m/>
    <s v="Soin village"/>
    <x v="15"/>
    <x v="1"/>
  </r>
  <r>
    <s v="People Daily"/>
    <x v="12"/>
    <x v="89"/>
    <x v="0"/>
    <s v="Anna Chepkwony"/>
    <n v="73"/>
    <m/>
    <s v="Not Provided"/>
    <s v="Stranger"/>
    <s v="Non-intimate"/>
    <s v="home"/>
    <x v="2"/>
    <s v="unkown"/>
    <s v="under investigation"/>
    <m/>
    <m/>
    <x v="1"/>
    <m/>
    <m/>
    <s v="Litein"/>
    <x v="15"/>
    <x v="1"/>
  </r>
  <r>
    <s v="Not Provided"/>
    <x v="15"/>
    <x v="4"/>
    <x v="0"/>
    <s v="Rachel Rotich"/>
    <n v="40"/>
    <m/>
    <s v="Not Provided"/>
    <s v="Husband"/>
    <s v="Not Provided"/>
    <s v="Not Provided"/>
    <x v="3"/>
    <s v="Not Provided"/>
    <s v="Not Provided"/>
    <m/>
    <m/>
    <x v="1"/>
    <m/>
    <m/>
    <s v="Kericho County"/>
    <x v="15"/>
    <x v="1"/>
  </r>
  <r>
    <s v="Lynn Kolongei"/>
    <x v="4"/>
    <x v="90"/>
    <x v="0"/>
    <s v="Caroline Koech"/>
    <m/>
    <m/>
    <s v="Paul Kipkemboi"/>
    <s v="Husband"/>
    <s v="Intimate"/>
    <s v="home"/>
    <x v="1"/>
    <s v="Argument"/>
    <s v="Not Provided"/>
    <m/>
    <d v="2021-11-08T00:00:00"/>
    <x v="0"/>
    <n v="5"/>
    <n v="361"/>
    <s v="Kipkelion"/>
    <x v="15"/>
    <x v="1"/>
  </r>
  <r>
    <s v="Mercy Wairimu"/>
    <x v="0"/>
    <x v="91"/>
    <x v="0"/>
    <s v="Irene Chelagat"/>
    <n v="22"/>
    <d v="2022-05-04T00:00:00"/>
    <s v="Tony Kiptoo"/>
    <s v="Boyfriend"/>
    <s v="Intimate"/>
    <s v="school"/>
    <x v="4"/>
    <s v="breakup"/>
    <s v="under investigation"/>
    <m/>
    <m/>
    <x v="1"/>
    <m/>
    <m/>
    <s v="Keben Secondary School"/>
    <x v="15"/>
    <x v="1"/>
  </r>
  <r>
    <s v="Vitalis Kimutai"/>
    <x v="5"/>
    <x v="92"/>
    <x v="0"/>
    <s v="Not Provided"/>
    <n v="32"/>
    <d v="2023-05-02T00:00:00"/>
    <s v="Not Provided"/>
    <s v="Husband"/>
    <s v="Intimate"/>
    <s v="home"/>
    <x v="2"/>
    <s v="Not Provided"/>
    <s v="under investigation"/>
    <m/>
    <m/>
    <x v="1"/>
    <m/>
    <m/>
    <s v="Burgei village in Kipkelion East Constituency"/>
    <x v="15"/>
    <x v="1"/>
  </r>
  <r>
    <s v="Cyrus Ombati"/>
    <x v="0"/>
    <x v="93"/>
    <x v="0"/>
    <s v="Shauline Akot"/>
    <m/>
    <m/>
    <s v="Bernard Bilayi"/>
    <s v="Boyfriend"/>
    <s v="Intimate"/>
    <s v="Workplace"/>
    <x v="7"/>
    <s v="Not Provided"/>
    <s v="Murder-suicide"/>
    <m/>
    <m/>
    <x v="1"/>
    <m/>
    <m/>
    <s v="Sosiot trading centre in Belgut"/>
    <x v="15"/>
    <x v="1"/>
  </r>
  <r>
    <s v="Vitalis Kimutai"/>
    <x v="5"/>
    <x v="93"/>
    <x v="0"/>
    <s v="Not Provided"/>
    <m/>
    <m/>
    <s v="Not Provided"/>
    <s v="Boyfriend"/>
    <s v="Intimate"/>
    <s v="Public Space"/>
    <x v="7"/>
    <s v="Not Provided"/>
    <s v="Murder-suicide"/>
    <m/>
    <m/>
    <x v="1"/>
    <m/>
    <m/>
    <s v="Sosiot"/>
    <x v="15"/>
    <x v="1"/>
  </r>
  <r>
    <s v="Not Provided"/>
    <x v="0"/>
    <x v="94"/>
    <x v="0"/>
    <s v="Not Provided"/>
    <n v="27"/>
    <m/>
    <s v="Not Provided"/>
    <s v="Stranger"/>
    <s v="Not Provided"/>
    <s v="home"/>
    <x v="0"/>
    <s v="Not Provided"/>
    <s v="under investigation"/>
    <m/>
    <m/>
    <x v="1"/>
    <m/>
    <m/>
    <s v="Ainamoi"/>
    <x v="15"/>
    <x v="1"/>
  </r>
  <r>
    <s v="Vitalis Kimutai"/>
    <x v="8"/>
    <x v="95"/>
    <x v="0"/>
    <s v="Vivian Atieno"/>
    <m/>
    <m/>
    <s v="Cornel Ochieng"/>
    <s v="Husband"/>
    <s v="Intimate"/>
    <s v="Public Space"/>
    <x v="4"/>
    <s v="altercation "/>
    <s v="under investigation"/>
    <m/>
    <m/>
    <x v="1"/>
    <m/>
    <m/>
    <s v="James Finlays Tea Company workshop estate"/>
    <x v="15"/>
    <x v="1"/>
  </r>
  <r>
    <s v="Alphonce Mung"/>
    <x v="0"/>
    <x v="96"/>
    <x v="0"/>
    <s v="Felista Awino"/>
    <m/>
    <m/>
    <s v="Nixon Chepkwony"/>
    <s v="Husband"/>
    <s v="Intimate"/>
    <s v="home"/>
    <x v="6"/>
    <s v="Argument"/>
    <s v="Ongoing hearing"/>
    <d v="2018-05-29T00:00:00"/>
    <m/>
    <x v="1"/>
    <m/>
    <m/>
    <s v="GSU headquaters"/>
    <x v="16"/>
    <x v="6"/>
  </r>
  <r>
    <s v="Kamau Muthoni "/>
    <x v="7"/>
    <x v="4"/>
    <x v="0"/>
    <s v="Faith Vicky Owuor"/>
    <m/>
    <m/>
    <s v="Marcel Jumanne Dalance"/>
    <s v="Not Provided"/>
    <s v="Intimate"/>
    <s v="home"/>
    <x v="5"/>
    <s v="Not Provided"/>
    <s v="Not Provided"/>
    <m/>
    <d v="2020-11-11T00:00:00"/>
    <x v="0"/>
    <m/>
    <n v="2315"/>
    <s v="Alpha House"/>
    <x v="16"/>
    <x v="6"/>
  </r>
  <r>
    <s v=" Kiundu Waweru"/>
    <x v="8"/>
    <x v="97"/>
    <x v="0"/>
    <s v="Rose Njoki"/>
    <m/>
    <m/>
    <s v="Geoffrey Mathenge "/>
    <s v="Family Member"/>
    <s v="Non-intimate"/>
    <s v="home"/>
    <x v="3"/>
    <s v="Not Provided"/>
    <s v="Not Provided"/>
    <m/>
    <m/>
    <x v="1"/>
    <m/>
    <m/>
    <s v="Muthure"/>
    <x v="16"/>
    <x v="6"/>
  </r>
  <r>
    <s v="Cyrus Ombati"/>
    <x v="4"/>
    <x v="98"/>
    <x v="0"/>
    <s v="Edda Kanana"/>
    <m/>
    <m/>
    <s v="Joseph Ateya"/>
    <s v="Boyfriend"/>
    <s v="Intimate"/>
    <s v="Other"/>
    <x v="7"/>
    <s v="Argument"/>
    <s v="under investigation"/>
    <m/>
    <m/>
    <x v="1"/>
    <m/>
    <m/>
    <s v="Githurai"/>
    <x v="16"/>
    <x v="6"/>
  </r>
  <r>
    <s v="Paul Baraza"/>
    <x v="7"/>
    <x v="99"/>
    <x v="0"/>
    <s v="Irene Kananu"/>
    <m/>
    <m/>
    <s v="Muhammed Wairimu"/>
    <s v="Boyfriend"/>
    <s v="Intimate"/>
    <s v="home"/>
    <x v="1"/>
    <s v="jealousy"/>
    <s v="under investigation"/>
    <m/>
    <m/>
    <x v="1"/>
    <m/>
    <m/>
    <s v="Kahawa Wendani"/>
    <x v="16"/>
    <x v="6"/>
  </r>
  <r>
    <s v="Lucas Ngasike"/>
    <x v="4"/>
    <x v="100"/>
    <x v="0"/>
    <s v="Yvonne Njeri"/>
    <n v="21"/>
    <m/>
    <s v="Not Provided"/>
    <s v="Stranger"/>
    <s v="Not Provided"/>
    <s v="home"/>
    <x v="6"/>
    <s v="breakup"/>
    <s v="under investigation"/>
    <m/>
    <m/>
    <x v="1"/>
    <m/>
    <m/>
    <s v="Uthiru"/>
    <x v="16"/>
    <x v="6"/>
  </r>
  <r>
    <s v="Kamau Maichuhie"/>
    <x v="7"/>
    <x v="101"/>
    <x v="0"/>
    <s v="Not Provided"/>
    <n v="65"/>
    <m/>
    <s v="Not Provided"/>
    <s v="Stranger"/>
    <s v="Non-intimate"/>
    <s v="Public Space"/>
    <x v="4"/>
    <s v="Not Provided"/>
    <s v="under investigation"/>
    <m/>
    <m/>
    <x v="1"/>
    <m/>
    <m/>
    <s v="Muchatha village"/>
    <x v="16"/>
    <x v="6"/>
  </r>
  <r>
    <s v="Ann Ngige Nyamu"/>
    <x v="1"/>
    <x v="102"/>
    <x v="0"/>
    <s v="Rosemary Kanina"/>
    <m/>
    <m/>
    <s v="Patrick Nderitu Karuiru"/>
    <s v="Husband"/>
    <s v="Intimate"/>
    <s v="home"/>
    <x v="6"/>
    <s v="Argument"/>
    <s v="both are dead"/>
    <m/>
    <m/>
    <x v="1"/>
    <m/>
    <m/>
    <s v="Juja"/>
    <x v="16"/>
    <x v="6"/>
  </r>
  <r>
    <s v="James Kahongeh"/>
    <x v="5"/>
    <x v="103"/>
    <x v="0"/>
    <s v="Lucy Njambi"/>
    <n v="24"/>
    <m/>
    <s v="Samwel Ndung'u"/>
    <s v="Husband"/>
    <s v="Intimate"/>
    <s v="Public Space"/>
    <x v="0"/>
    <s v="Argument"/>
    <s v="Not Provided"/>
    <d v="2018-01-29T00:00:00"/>
    <m/>
    <x v="1"/>
    <m/>
    <m/>
    <s v="Thingigwa Appartment"/>
    <x v="16"/>
    <x v="6"/>
  </r>
  <r>
    <s v="Mary Wambui"/>
    <x v="5"/>
    <x v="104"/>
    <x v="0"/>
    <s v="Grace Wamnjiru"/>
    <n v="27"/>
    <m/>
    <s v="Timothy Ndirangu (deceased)"/>
    <s v="Husband"/>
    <s v="Intimate"/>
    <s v="home"/>
    <x v="6"/>
    <s v="Argument"/>
    <s v="under investigation"/>
    <m/>
    <m/>
    <x v="1"/>
    <m/>
    <m/>
    <s v="Maguguni"/>
    <x v="16"/>
    <x v="6"/>
  </r>
  <r>
    <s v="Kamau Maichuhie"/>
    <x v="4"/>
    <x v="105"/>
    <x v="0"/>
    <s v="Not Provided"/>
    <n v="65"/>
    <m/>
    <s v="Not Provided"/>
    <s v="Stranger"/>
    <s v="Not Provided"/>
    <s v="Public Space"/>
    <x v="8"/>
    <s v="Not Provided"/>
    <s v="under investigation"/>
    <m/>
    <m/>
    <x v="1"/>
    <m/>
    <m/>
    <s v="Muchatha village"/>
    <x v="16"/>
    <x v="6"/>
  </r>
  <r>
    <s v="George Mugo"/>
    <x v="0"/>
    <x v="106"/>
    <x v="0"/>
    <s v="Rachel Wanjiku"/>
    <n v="76"/>
    <m/>
    <s v="Philip Njenga"/>
    <s v="Friend"/>
    <s v="Non-intimate"/>
    <s v="home"/>
    <x v="6"/>
    <s v="Not Provided"/>
    <s v="under investigation"/>
    <m/>
    <m/>
    <x v="1"/>
    <m/>
    <m/>
    <s v="Kongothiria village"/>
    <x v="16"/>
    <x v="6"/>
  </r>
  <r>
    <s v="Stanley Njenga"/>
    <x v="0"/>
    <x v="107"/>
    <x v="0"/>
    <s v="Mary Wambui Kamangara"/>
    <n v="39"/>
    <m/>
    <s v="Judy Mungai"/>
    <s v="Friend"/>
    <s v="Non-intimate"/>
    <s v="home"/>
    <x v="2"/>
    <s v="jealousy"/>
    <s v="Not Provided"/>
    <d v="2019-01-29T00:00:00"/>
    <m/>
    <x v="1"/>
    <m/>
    <m/>
    <s v="Four Ways estate"/>
    <x v="16"/>
    <x v="6"/>
  </r>
  <r>
    <s v="Stanley Njenga"/>
    <x v="0"/>
    <x v="108"/>
    <x v="0"/>
    <s v="Peninah Njoki"/>
    <n v="95"/>
    <m/>
    <s v="Not Provided"/>
    <s v="Stranger"/>
    <s v="Non-intimate"/>
    <s v="Public Space"/>
    <x v="0"/>
    <s v="Not Provided"/>
    <s v="under investigation"/>
    <m/>
    <m/>
    <x v="1"/>
    <m/>
    <m/>
    <s v="Riyani village"/>
    <x v="16"/>
    <x v="6"/>
  </r>
  <r>
    <s v="Not Provided"/>
    <x v="16"/>
    <x v="4"/>
    <x v="0"/>
    <s v="Jane Nduta"/>
    <m/>
    <m/>
    <s v="Not Provided"/>
    <s v="Husband"/>
    <s v="Not Provided"/>
    <s v="Not Provided"/>
    <x v="3"/>
    <s v="Not Provided"/>
    <s v="Not Provided"/>
    <m/>
    <m/>
    <x v="1"/>
    <m/>
    <m/>
    <s v="Kiambu County"/>
    <x v="16"/>
    <x v="6"/>
  </r>
  <r>
    <s v="Hilary Kimuyu"/>
    <x v="5"/>
    <x v="109"/>
    <x v="0"/>
    <s v="Milca Mwangi"/>
    <m/>
    <d v="2019-05-21T00:00:00"/>
    <s v="Albert Mwangi"/>
    <s v="Husband"/>
    <s v="Intimate"/>
    <s v="home"/>
    <x v="2"/>
    <s v="Argument"/>
    <s v="both are dead"/>
    <m/>
    <m/>
    <x v="1"/>
    <m/>
    <m/>
    <s v="Kiambumini Estate"/>
    <x v="16"/>
    <x v="6"/>
  </r>
  <r>
    <s v="George Mugo"/>
    <x v="0"/>
    <x v="110"/>
    <x v="0"/>
    <s v="Felister Wariara"/>
    <n v="18"/>
    <m/>
    <s v="Not Provided"/>
    <s v="Stranger"/>
    <s v="Non-intimate"/>
    <s v="Public Space"/>
    <x v="4"/>
    <s v="Not Provided"/>
    <s v="under investigation"/>
    <m/>
    <m/>
    <x v="1"/>
    <m/>
    <m/>
    <s v="Rusigetti village"/>
    <x v="16"/>
    <x v="6"/>
  </r>
  <r>
    <s v="Tracy Mutinda"/>
    <x v="0"/>
    <x v="111"/>
    <x v="0"/>
    <s v="Not Provided"/>
    <m/>
    <m/>
    <s v="Levy Abubakara"/>
    <s v="Stranger"/>
    <s v="Non-intimate"/>
    <s v="home"/>
    <x v="6"/>
    <s v="Not Provided"/>
    <s v="under investigation"/>
    <m/>
    <m/>
    <x v="1"/>
    <m/>
    <m/>
    <s v="Membley area"/>
    <x v="16"/>
    <x v="6"/>
  </r>
  <r>
    <s v="John Kamau"/>
    <x v="0"/>
    <x v="112"/>
    <x v="0"/>
    <s v="Not Provided"/>
    <m/>
    <m/>
    <s v="Not Provided"/>
    <s v="Stranger"/>
    <s v="Non-intimate"/>
    <s v="Public Space"/>
    <x v="0"/>
    <s v="Not Provided"/>
    <s v="under investigation"/>
    <m/>
    <m/>
    <x v="1"/>
    <m/>
    <m/>
    <s v="Wataalam Ruiru"/>
    <x v="16"/>
    <x v="6"/>
  </r>
  <r>
    <s v="George Mugo"/>
    <x v="0"/>
    <x v="113"/>
    <x v="0"/>
    <s v="Not Provided"/>
    <n v="45"/>
    <m/>
    <s v="Not Provided"/>
    <s v="Boyfriend"/>
    <s v="Intimate"/>
    <s v="home"/>
    <x v="4"/>
    <s v="Argument"/>
    <s v="under investigation"/>
    <m/>
    <m/>
    <x v="1"/>
    <m/>
    <m/>
    <s v="Kamahindu village"/>
    <x v="16"/>
    <x v="6"/>
  </r>
  <r>
    <s v="John Kamau"/>
    <x v="0"/>
    <x v="114"/>
    <x v="0"/>
    <s v="Priscilla"/>
    <n v="24"/>
    <m/>
    <s v="Hillary Kipkirui"/>
    <s v="Boyfriend"/>
    <s v="Intimate"/>
    <s v="home"/>
    <x v="4"/>
    <s v="jealousy"/>
    <s v="both are dead"/>
    <m/>
    <m/>
    <x v="1"/>
    <m/>
    <m/>
    <s v="Majengo estate Thika"/>
    <x v="16"/>
    <x v="6"/>
  </r>
  <r>
    <s v="Cyrus Ombati"/>
    <x v="0"/>
    <x v="115"/>
    <x v="0"/>
    <s v="Pauline Wakasa"/>
    <n v="29"/>
    <m/>
    <s v="Officer Hudson Wakise"/>
    <s v="Husband"/>
    <s v="Intimate"/>
    <s v="home"/>
    <x v="7"/>
    <s v="Argument"/>
    <s v="both are dead"/>
    <m/>
    <m/>
    <x v="1"/>
    <m/>
    <m/>
    <s v="GSU camp Ruaka"/>
    <x v="16"/>
    <x v="6"/>
  </r>
  <r>
    <s v="Akello Odenyo Akello Odenyo"/>
    <x v="0"/>
    <x v="116"/>
    <x v="0"/>
    <s v="Catherine Nyokabi"/>
    <n v="25"/>
    <m/>
    <s v="Evans Karani"/>
    <s v="Boyfriend"/>
    <s v="Intimate"/>
    <s v="Public Space"/>
    <x v="5"/>
    <s v="Argument"/>
    <s v="Ongoing hearing"/>
    <d v="2021-04-19T00:00:00"/>
    <m/>
    <x v="1"/>
    <m/>
    <m/>
    <s v="Kimbo Githurai"/>
    <x v="16"/>
    <x v="6"/>
  </r>
  <r>
    <s v="George Mugo"/>
    <x v="0"/>
    <x v="117"/>
    <x v="0"/>
    <s v="Margaret Ngina"/>
    <n v="81"/>
    <m/>
    <s v="Not Provided"/>
    <s v="Friend"/>
    <s v="Non-intimate"/>
    <s v="Public Space"/>
    <x v="6"/>
    <s v="Not Provided"/>
    <s v="under investigation"/>
    <m/>
    <m/>
    <x v="1"/>
    <m/>
    <m/>
    <s v="Karambani village"/>
    <x v="16"/>
    <x v="6"/>
  </r>
  <r>
    <s v="Mathew Ndungu"/>
    <x v="14"/>
    <x v="118"/>
    <x v="0"/>
    <s v="Celestine Muthengei"/>
    <n v="19"/>
    <m/>
    <s v="Not Provided"/>
    <s v="Ex-Boyfriend"/>
    <s v="Not Provided"/>
    <s v="school"/>
    <x v="4"/>
    <s v="Not Provided"/>
    <s v="Not Provided"/>
    <m/>
    <m/>
    <x v="1"/>
    <m/>
    <m/>
    <s v="Mt. Kenya University Thika"/>
    <x v="16"/>
    <x v="6"/>
  </r>
  <r>
    <s v="Fidelis Kabunyi"/>
    <x v="4"/>
    <x v="119"/>
    <x v="0"/>
    <s v="Philomena Njeri"/>
    <n v="30"/>
    <m/>
    <s v="Jonathan Mukundi Gachunga"/>
    <s v="Husband"/>
    <s v="Intimate"/>
    <s v="home"/>
    <x v="7"/>
    <s v="Argument"/>
    <s v="both are dead"/>
    <m/>
    <m/>
    <x v="1"/>
    <m/>
    <m/>
    <s v="Kirigiti"/>
    <x v="16"/>
    <x v="6"/>
  </r>
  <r>
    <s v="Fidelis Kabunyi"/>
    <x v="4"/>
    <x v="120"/>
    <x v="0"/>
    <s v="Esther Nyaga"/>
    <n v="34"/>
    <m/>
    <s v="Evans Kamau"/>
    <s v="Ex-Husband"/>
    <s v="Intimate"/>
    <s v="home"/>
    <x v="4"/>
    <s v="breakup"/>
    <s v="Ongoing hearing"/>
    <d v="2021-09-08T00:00:00"/>
    <m/>
    <x v="1"/>
    <m/>
    <m/>
    <s v="Elmark estate"/>
    <x v="16"/>
    <x v="6"/>
  </r>
  <r>
    <s v="Bashir Mbuthia"/>
    <x v="1"/>
    <x v="121"/>
    <x v="0"/>
    <s v="Everlyn Wanjiru"/>
    <n v="24"/>
    <m/>
    <s v="Brian Wawere"/>
    <s v="Ex-Boyfriend"/>
    <s v="Not Provided"/>
    <s v="home"/>
    <x v="3"/>
    <s v="Not Provided"/>
    <s v="Not Provided"/>
    <m/>
    <m/>
    <x v="1"/>
    <m/>
    <m/>
    <s v="Kiambu County"/>
    <x v="16"/>
    <x v="6"/>
  </r>
  <r>
    <s v="Fidelis Kabunyi"/>
    <x v="4"/>
    <x v="122"/>
    <x v="0"/>
    <s v="Esther Wambui"/>
    <n v="18"/>
    <m/>
    <s v="Not Provided"/>
    <s v="Stranger"/>
    <s v="Not Provided"/>
    <s v="Public Space"/>
    <x v="6"/>
    <s v="jealousy"/>
    <s v="under investigation"/>
    <m/>
    <m/>
    <x v="1"/>
    <m/>
    <m/>
    <s v="Kimbo"/>
    <x v="16"/>
    <x v="6"/>
  </r>
  <r>
    <s v=" Cyrus Ombati"/>
    <x v="2"/>
    <x v="123"/>
    <x v="0"/>
    <s v="Purity Wangechi"/>
    <n v="19"/>
    <d v="2022-05-13T00:00:00"/>
    <s v="John Wanyoike Kibungi,"/>
    <s v="Boyfriend"/>
    <s v="Not Provided"/>
    <s v="Not Provided"/>
    <x v="4"/>
    <s v="Not Provided"/>
    <s v="Not Provided"/>
    <m/>
    <m/>
    <x v="1"/>
    <m/>
    <m/>
    <s v="Mburiria estate"/>
    <x v="16"/>
    <x v="6"/>
  </r>
  <r>
    <s v="George Mugo"/>
    <x v="0"/>
    <x v="124"/>
    <x v="0"/>
    <s v="Not Provided"/>
    <m/>
    <m/>
    <s v="Not Provided"/>
    <s v="Husband"/>
    <s v="Intimate"/>
    <s v="home"/>
    <x v="1"/>
    <s v="Argument"/>
    <s v="both are dead"/>
    <m/>
    <m/>
    <x v="1"/>
    <m/>
    <m/>
    <s v="Kimende town"/>
    <x v="16"/>
    <x v="6"/>
  </r>
  <r>
    <s v=" George Njunge"/>
    <x v="2"/>
    <x v="125"/>
    <x v="0"/>
    <s v="Alice Njeri "/>
    <m/>
    <m/>
    <s v="Benson Wanjohi"/>
    <s v="Husband"/>
    <s v="Not Provided"/>
    <s v="home"/>
    <x v="1"/>
    <s v="Not Provided"/>
    <s v="Not Provided"/>
    <m/>
    <m/>
    <x v="1"/>
    <m/>
    <m/>
    <s v="Lari"/>
    <x v="16"/>
    <x v="6"/>
  </r>
  <r>
    <s v=" Simon Ciuri And Mwangi Muiruri"/>
    <x v="5"/>
    <x v="126"/>
    <x v="0"/>
    <s v="Risper Ndunge"/>
    <n v="27"/>
    <m/>
    <s v="Morris Njuguna"/>
    <s v="Husband"/>
    <s v="Intimate"/>
    <s v="home"/>
    <x v="2"/>
    <s v="Quarrel"/>
    <s v="under investigation"/>
    <m/>
    <m/>
    <x v="1"/>
    <m/>
    <m/>
    <s v="Mitikenda Estate on the outskirts of Ruiru"/>
    <x v="16"/>
    <x v="6"/>
  </r>
  <r>
    <s v="Kna"/>
    <x v="0"/>
    <x v="56"/>
    <x v="0"/>
    <s v="Rosemary Mugere"/>
    <n v="52"/>
    <m/>
    <s v="Unknown assailant"/>
    <s v="Stranger"/>
    <s v="Not Provided"/>
    <s v="Public Space"/>
    <x v="8"/>
    <s v="Not Provided"/>
    <s v="under investigation"/>
    <m/>
    <m/>
    <x v="1"/>
    <m/>
    <m/>
    <s v="Riverside"/>
    <x v="16"/>
    <x v="6"/>
  </r>
  <r>
    <s v=" Nyaboga Kiage"/>
    <x v="8"/>
    <x v="127"/>
    <x v="0"/>
    <s v="Phylis Ngina Gachohi"/>
    <m/>
    <m/>
    <s v="HK"/>
    <s v="Ex-Husband"/>
    <s v="Intimate"/>
    <s v="Other"/>
    <x v="4"/>
    <s v="Quarrel"/>
    <s v="under investigation"/>
    <m/>
    <m/>
    <x v="1"/>
    <m/>
    <m/>
    <s v="Ngewa"/>
    <x v="16"/>
    <x v="6"/>
  </r>
  <r>
    <s v=" Simon Ciuri"/>
    <x v="5"/>
    <x v="128"/>
    <x v="0"/>
    <s v="Mercy Mugure"/>
    <n v="66"/>
    <m/>
    <s v="Simon Kimani"/>
    <s v="Family Member"/>
    <s v="Non-intimate"/>
    <s v="home"/>
    <x v="3"/>
    <s v="Not Provided"/>
    <s v="under investigation"/>
    <m/>
    <m/>
    <x v="1"/>
    <m/>
    <m/>
    <s v="Gituamba village"/>
    <x v="16"/>
    <x v="6"/>
  </r>
  <r>
    <s v="Not Provided"/>
    <x v="15"/>
    <x v="129"/>
    <x v="0"/>
    <s v="Alice Wangechi"/>
    <n v="22"/>
    <m/>
    <s v="Not Provided"/>
    <s v="Ex-Boyfriend"/>
    <s v="Intimate"/>
    <s v="Public Space"/>
    <x v="4"/>
    <s v="deceived her by claiming to have found her lost phone"/>
    <s v="under investigation"/>
    <m/>
    <m/>
    <x v="1"/>
    <m/>
    <m/>
    <s v="Gatundu North"/>
    <x v="16"/>
    <x v="6"/>
  </r>
  <r>
    <s v="Elias Yaa Elias Yaa"/>
    <x v="0"/>
    <x v="130"/>
    <x v="0"/>
    <s v="Pendo Karisa"/>
    <n v="20"/>
    <m/>
    <s v="Munga Mwangemi"/>
    <s v="Boyfriend"/>
    <s v="Intimate"/>
    <s v="Public Space"/>
    <x v="3"/>
    <s v="Not Provided"/>
    <s v="under investigation"/>
    <m/>
    <m/>
    <x v="1"/>
    <m/>
    <m/>
    <s v="Mikanjui village"/>
    <x v="17"/>
    <x v="7"/>
  </r>
  <r>
    <s v="Maureen Ongala"/>
    <x v="5"/>
    <x v="131"/>
    <x v="0"/>
    <s v="Risper Chizi"/>
    <n v="26"/>
    <m/>
    <s v="Hillary Tsuma"/>
    <s v="Husband"/>
    <s v="Intimate"/>
    <s v="home"/>
    <x v="4"/>
    <s v="denied conjugal rights"/>
    <s v="under investigation"/>
    <m/>
    <m/>
    <x v="1"/>
    <m/>
    <m/>
    <s v="Mwanzai"/>
    <x v="17"/>
    <x v="7"/>
  </r>
  <r>
    <s v="Munene Kamau"/>
    <x v="4"/>
    <x v="132"/>
    <x v="0"/>
    <s v="Agata Wanjira Njeru"/>
    <n v="50"/>
    <m/>
    <s v="Not Provided"/>
    <s v="Husband"/>
    <s v="Intimate"/>
    <s v="home"/>
    <x v="1"/>
    <s v="Argument"/>
    <s v="under investigation"/>
    <m/>
    <m/>
    <x v="1"/>
    <m/>
    <m/>
    <s v="Kathunguri village"/>
    <x v="18"/>
    <x v="6"/>
  </r>
  <r>
    <s v="Munene Kamau"/>
    <x v="4"/>
    <x v="133"/>
    <x v="0"/>
    <s v="Rehema Auma"/>
    <n v="58"/>
    <m/>
    <s v="Not Provided"/>
    <s v="Friend"/>
    <s v="Intimate"/>
    <s v="home"/>
    <x v="4"/>
    <s v="breakup"/>
    <s v="under investigation"/>
    <m/>
    <m/>
    <x v="1"/>
    <m/>
    <m/>
    <s v="Riandira village"/>
    <x v="18"/>
    <x v="6"/>
  </r>
  <r>
    <s v="George Munene"/>
    <x v="5"/>
    <x v="134"/>
    <x v="0"/>
    <s v="Damaris Njeri"/>
    <n v="22"/>
    <m/>
    <s v="Not Provided"/>
    <s v="Boyfriend"/>
    <s v="Intimate"/>
    <s v="Public Space"/>
    <x v="8"/>
    <s v="Argument"/>
    <s v="under investigation"/>
    <m/>
    <m/>
    <x v="1"/>
    <m/>
    <m/>
    <s v="Rukanga village"/>
    <x v="18"/>
    <x v="6"/>
  </r>
  <r>
    <s v="George Munene"/>
    <x v="5"/>
    <x v="135"/>
    <x v="0"/>
    <s v="Virginia Wambui"/>
    <m/>
    <m/>
    <s v="Not Provided"/>
    <s v="Husband"/>
    <s v="Intimate"/>
    <s v="home"/>
    <x v="6"/>
    <s v="Drunk"/>
    <s v="under investigation"/>
    <m/>
    <m/>
    <x v="1"/>
    <m/>
    <m/>
    <s v="Rukanga village"/>
    <x v="18"/>
    <x v="6"/>
  </r>
  <r>
    <s v="George Munene"/>
    <x v="5"/>
    <x v="136"/>
    <x v="0"/>
    <s v="Jedidah Wanjiru"/>
    <n v="80"/>
    <m/>
    <s v="Not Provided"/>
    <s v="Stranger"/>
    <s v="Not Provided"/>
    <s v="home"/>
    <x v="6"/>
    <s v="Not Provided"/>
    <s v="under investigation"/>
    <m/>
    <m/>
    <x v="1"/>
    <m/>
    <m/>
    <s v="Kanyage village"/>
    <x v="18"/>
    <x v="6"/>
  </r>
  <r>
    <s v="George Munene"/>
    <x v="5"/>
    <x v="137"/>
    <x v="0"/>
    <s v="Carol Mbote"/>
    <m/>
    <m/>
    <s v="Samuel Kiama"/>
    <s v="Husband"/>
    <s v="Intimate"/>
    <s v="home"/>
    <x v="4"/>
    <s v="Argument"/>
    <s v="both are dead"/>
    <m/>
    <m/>
    <x v="1"/>
    <m/>
    <m/>
    <s v="Kianyaga town"/>
    <x v="18"/>
    <x v="6"/>
  </r>
  <r>
    <s v="George Munene"/>
    <x v="5"/>
    <x v="138"/>
    <x v="0"/>
    <s v="Not Provided"/>
    <n v="30"/>
    <m/>
    <s v="Not Provided"/>
    <s v="Husband"/>
    <s v="Intimate"/>
    <s v="home"/>
    <x v="2"/>
    <s v="Argument"/>
    <s v="under investigation"/>
    <m/>
    <m/>
    <x v="1"/>
    <m/>
    <m/>
    <s v="Kiandai village"/>
    <x v="18"/>
    <x v="6"/>
  </r>
  <r>
    <s v="Wangechi Wangondu"/>
    <x v="0"/>
    <x v="139"/>
    <x v="0"/>
    <s v="Beth Karimi"/>
    <m/>
    <m/>
    <s v="Simon Tama"/>
    <s v="Ex-Husband"/>
    <s v="Intimate"/>
    <s v="home"/>
    <x v="4"/>
    <s v="Argument"/>
    <s v="under investigation"/>
    <m/>
    <m/>
    <x v="1"/>
    <m/>
    <m/>
    <s v="Mwea"/>
    <x v="18"/>
    <x v="6"/>
  </r>
  <r>
    <s v="By _x000a_ George Munene"/>
    <x v="11"/>
    <x v="140"/>
    <x v="0"/>
    <s v="Millicent Wangeci Gitari"/>
    <n v="57"/>
    <m/>
    <s v="Not Provided"/>
    <s v="Stranger"/>
    <s v="Not Provided"/>
    <s v="Public Space"/>
    <x v="6"/>
    <s v="Not Provided"/>
    <s v="under investigation"/>
    <m/>
    <m/>
    <x v="1"/>
    <m/>
    <m/>
    <s v="Ngucui village"/>
    <x v="18"/>
    <x v="6"/>
  </r>
  <r>
    <s v="Jael Mboga And Kariuki Timothy"/>
    <x v="4"/>
    <x v="141"/>
    <x v="0"/>
    <s v="Millicent Muthoni"/>
    <n v="38"/>
    <m/>
    <s v="Paul Murage"/>
    <s v="Husband"/>
    <s v="Intimate"/>
    <s v="home"/>
    <x v="4"/>
    <s v="Argument"/>
    <s v="Ongoing hearing"/>
    <d v="2021-12-01T00:00:00"/>
    <m/>
    <x v="1"/>
    <m/>
    <m/>
    <s v="Kathata village"/>
    <x v="18"/>
    <x v="6"/>
  </r>
  <r>
    <s v="Timothy Kariuki"/>
    <x v="4"/>
    <x v="142"/>
    <x v="0"/>
    <s v="Charity Wangui"/>
    <n v="37"/>
    <m/>
    <s v="James Muchiri"/>
    <s v="Husband"/>
    <s v="Intimate"/>
    <s v="home"/>
    <x v="5"/>
    <s v="jealousy"/>
    <s v="under investigation"/>
    <m/>
    <m/>
    <x v="1"/>
    <m/>
    <m/>
    <s v="Kithima village"/>
    <x v="18"/>
    <x v="6"/>
  </r>
  <r>
    <s v="Wangechi Wang'Ondu"/>
    <x v="0"/>
    <x v="143"/>
    <x v="0"/>
    <s v="Phylis Wanjira Muriuki"/>
    <n v="40"/>
    <m/>
    <s v="James Kigoto Mbutu"/>
    <s v="Husband"/>
    <s v="Intimate"/>
    <s v="home"/>
    <x v="4"/>
    <s v="Argument"/>
    <s v="both are dead"/>
    <m/>
    <m/>
    <x v="1"/>
    <m/>
    <m/>
    <s v="Kibaratani village"/>
    <x v="18"/>
    <x v="6"/>
  </r>
  <r>
    <s v="George Munene"/>
    <x v="5"/>
    <x v="144"/>
    <x v="0"/>
    <s v="Joyce Nginya"/>
    <n v="44"/>
    <m/>
    <s v="Not Provided"/>
    <s v="Boyfriend"/>
    <s v="Intimate"/>
    <s v="home"/>
    <x v="2"/>
    <s v="Not Provided"/>
    <s v="under investigation"/>
    <m/>
    <m/>
    <x v="1"/>
    <m/>
    <m/>
    <s v="Thiba village in Kirinyaga"/>
    <x v="18"/>
    <x v="6"/>
  </r>
  <r>
    <s v=" Lucy Njogu"/>
    <x v="17"/>
    <x v="145"/>
    <x v="0"/>
    <s v="Not Provided"/>
    <n v="9"/>
    <d v="2023-05-14T00:00:00"/>
    <s v="John Kariuki"/>
    <s v="Friend"/>
    <s v="Non-intimate"/>
    <s v="Public Space"/>
    <x v="6"/>
    <s v="Not Provided"/>
    <s v="under investigation"/>
    <m/>
    <m/>
    <x v="1"/>
    <m/>
    <m/>
    <s v="Rwamuthambi river in Kagio town"/>
    <x v="18"/>
    <x v="6"/>
  </r>
  <r>
    <s v="Wangechi Wang'Ondu"/>
    <x v="0"/>
    <x v="146"/>
    <x v="0"/>
    <s v="Ann Njoki Irungu"/>
    <n v="37"/>
    <m/>
    <s v="Julius Gichobi Mambo"/>
    <s v="Husband"/>
    <s v="Intimate"/>
    <s v="home"/>
    <x v="2"/>
    <s v="quarrel over sale of beans."/>
    <s v="under investigation"/>
    <m/>
    <m/>
    <x v="1"/>
    <m/>
    <m/>
    <s v="Gichugu"/>
    <x v="18"/>
    <x v="6"/>
  </r>
  <r>
    <s v="Munene Kamau"/>
    <x v="7"/>
    <x v="147"/>
    <x v="0"/>
    <s v="Jane Wanjiru Murenga"/>
    <n v="45"/>
    <m/>
    <s v="Not Provided"/>
    <s v="Stranger"/>
    <s v="Not Provided"/>
    <s v="home"/>
    <x v="8"/>
    <s v="Not Provided"/>
    <s v="Not Provided"/>
    <m/>
    <m/>
    <x v="1"/>
    <m/>
    <m/>
    <s v="Kithure village"/>
    <x v="18"/>
    <x v="6"/>
  </r>
  <r>
    <s v="Erick Abuga"/>
    <x v="4"/>
    <x v="148"/>
    <x v="0"/>
    <s v="Cynthia Mayaka"/>
    <n v="12"/>
    <m/>
    <s v="Not Provided"/>
    <s v="Stranger"/>
    <s v="Not Provided"/>
    <s v="Public Space"/>
    <x v="1"/>
    <s v="Not Provided"/>
    <s v="under investigation"/>
    <m/>
    <m/>
    <x v="1"/>
    <m/>
    <m/>
    <s v="Getare"/>
    <x v="19"/>
    <x v="5"/>
  </r>
  <r>
    <s v="Erick Abuga"/>
    <x v="4"/>
    <x v="149"/>
    <x v="0"/>
    <s v="Vennah Kemunto"/>
    <n v="22"/>
    <d v="2017-05-25T00:00:00"/>
    <s v="Samson Obwacha (deceased)"/>
    <s v="Boyfriend"/>
    <s v="Intimate"/>
    <s v="school"/>
    <x v="6"/>
    <s v="Argument"/>
    <s v="Not Provided"/>
    <m/>
    <m/>
    <x v="1"/>
    <m/>
    <m/>
    <s v="Kisii University"/>
    <x v="19"/>
    <x v="5"/>
  </r>
  <r>
    <s v="Eric Abuga"/>
    <x v="4"/>
    <x v="150"/>
    <x v="0"/>
    <s v="Christine Nyananga"/>
    <n v="24"/>
    <m/>
    <s v="Bernard Kiiru (deceased)"/>
    <s v="Family Member"/>
    <s v="Non-intimate"/>
    <s v="home"/>
    <x v="4"/>
    <s v="jealousy"/>
    <s v="Not Provided"/>
    <m/>
    <m/>
    <x v="1"/>
    <m/>
    <m/>
    <s v="Botori village"/>
    <x v="19"/>
    <x v="5"/>
  </r>
  <r>
    <s v="Hyline Charo"/>
    <x v="1"/>
    <x v="151"/>
    <x v="0"/>
    <s v="Diana Ondieki"/>
    <n v="23"/>
    <m/>
    <s v="Omundi Nyabuto"/>
    <s v="Boyfriend"/>
    <s v="Intimate"/>
    <s v="Public Space"/>
    <x v="2"/>
    <s v="jealousy"/>
    <s v="under investigation"/>
    <m/>
    <m/>
    <x v="1"/>
    <m/>
    <m/>
    <s v="Bomwanch village"/>
    <x v="19"/>
    <x v="5"/>
  </r>
  <r>
    <s v="Erick Abuga"/>
    <x v="4"/>
    <x v="152"/>
    <x v="0"/>
    <s v="Elvinah Moracha"/>
    <n v="17"/>
    <m/>
    <s v="Not Provided"/>
    <s v="Ex-Boyfriend"/>
    <s v="Intimate"/>
    <s v="Public Space"/>
    <x v="3"/>
    <s v="jealousy"/>
    <s v="under investigation"/>
    <m/>
    <m/>
    <x v="1"/>
    <m/>
    <m/>
    <s v="Mariba village"/>
    <x v="19"/>
    <x v="5"/>
  </r>
  <r>
    <s v="James Kahongeh"/>
    <x v="5"/>
    <x v="153"/>
    <x v="0"/>
    <s v="Maureen Monchari"/>
    <m/>
    <m/>
    <s v="Innocent Sokoro"/>
    <s v="Ex-Boyfriend"/>
    <s v="Intimate"/>
    <s v="home"/>
    <x v="6"/>
    <s v="Argument"/>
    <s v="under investigation"/>
    <m/>
    <m/>
    <x v="1"/>
    <m/>
    <m/>
    <s v="Kenyanya"/>
    <x v="19"/>
    <x v="5"/>
  </r>
  <r>
    <s v="Not Provided"/>
    <x v="3"/>
    <x v="4"/>
    <x v="0"/>
    <s v="Shyleen Mokeira"/>
    <m/>
    <m/>
    <s v="Not Provided"/>
    <s v="Stranger"/>
    <s v="Not Provided"/>
    <s v="Not Provided"/>
    <x v="3"/>
    <s v="Not Provided"/>
    <s v="Not Provided"/>
    <m/>
    <m/>
    <x v="1"/>
    <m/>
    <m/>
    <s v="Kisii County"/>
    <x v="19"/>
    <x v="5"/>
  </r>
  <r>
    <s v="Not Provided"/>
    <x v="18"/>
    <x v="4"/>
    <x v="0"/>
    <s v="Dorika Ntabuto"/>
    <n v="24"/>
    <m/>
    <s v="Not Provided"/>
    <s v="Husband"/>
    <s v="Not Provided"/>
    <s v="Not Provided"/>
    <x v="3"/>
    <s v="Not Provided"/>
    <s v="Not Provided"/>
    <m/>
    <m/>
    <x v="1"/>
    <m/>
    <m/>
    <s v="Kisii County"/>
    <x v="19"/>
    <x v="5"/>
  </r>
  <r>
    <s v="Edwin Nyarangi"/>
    <x v="4"/>
    <x v="154"/>
    <x v="0"/>
    <s v="Jessica Moraa"/>
    <m/>
    <m/>
    <s v="George Morara"/>
    <s v="Husband"/>
    <s v="Intimate"/>
    <s v="home"/>
    <x v="4"/>
    <s v="Argument"/>
    <s v="Not Provided"/>
    <m/>
    <m/>
    <x v="0"/>
    <n v="40"/>
    <n v="708"/>
    <s v="Nyamariba"/>
    <x v="19"/>
    <x v="5"/>
  </r>
  <r>
    <s v="By _x000a_ Benson Ayienda"/>
    <x v="11"/>
    <x v="155"/>
    <x v="0"/>
    <s v="Esther Nyambusi"/>
    <n v="32"/>
    <m/>
    <s v="Joel Mogaka"/>
    <s v="Husband"/>
    <s v="Intimate"/>
    <s v="home"/>
    <x v="6"/>
    <s v="jealousy"/>
    <s v="under investigation"/>
    <m/>
    <m/>
    <x v="1"/>
    <m/>
    <m/>
    <s v="Bomachoge chache"/>
    <x v="19"/>
    <x v="5"/>
  </r>
  <r>
    <s v="Erick Abuga"/>
    <x v="7"/>
    <x v="155"/>
    <x v="0"/>
    <s v="Irine Nyakwara"/>
    <m/>
    <m/>
    <s v="Joel Mogaka "/>
    <s v="Husband"/>
    <s v="Not Provided"/>
    <s v="home"/>
    <x v="0"/>
    <s v="Not Provided"/>
    <s v="Not Provided"/>
    <m/>
    <m/>
    <x v="1"/>
    <m/>
    <m/>
    <s v="Kisii County"/>
    <x v="19"/>
    <x v="5"/>
  </r>
  <r>
    <s v="Magati Obebo"/>
    <x v="0"/>
    <x v="156"/>
    <x v="0"/>
    <s v="Alice Kamunde"/>
    <n v="68"/>
    <m/>
    <s v="Christopher Gisiora"/>
    <s v="Husband"/>
    <s v="Intimate"/>
    <s v="home"/>
    <x v="4"/>
    <s v="Argument"/>
    <s v="under investigation"/>
    <m/>
    <m/>
    <x v="1"/>
    <m/>
    <m/>
    <s v="Gasieka village"/>
    <x v="19"/>
    <x v="5"/>
  </r>
  <r>
    <s v="Cyrus Ombati"/>
    <x v="0"/>
    <x v="157"/>
    <x v="0"/>
    <s v="Not Provided"/>
    <n v="28"/>
    <m/>
    <s v="Not Provided"/>
    <s v="Husband"/>
    <s v="Intimate"/>
    <s v="home"/>
    <x v="2"/>
    <s v="domestic quarrel over shopping money"/>
    <s v="under investigation"/>
    <m/>
    <m/>
    <x v="1"/>
    <m/>
    <m/>
    <s v="Kenyerere village"/>
    <x v="19"/>
    <x v="5"/>
  </r>
  <r>
    <s v="Cyrus Ombati"/>
    <x v="0"/>
    <x v="158"/>
    <x v="0"/>
    <s v="Lucy Boke"/>
    <n v="23"/>
    <m/>
    <s v="_x000a_Stephen Wambura Orengo_x000a_"/>
    <s v="Boyfriend"/>
    <s v="Intimate"/>
    <s v="home"/>
    <x v="1"/>
    <s v="angered he could not marry her because they were relatives"/>
    <s v="under investigation"/>
    <d v="2023-11-15T00:00:00"/>
    <m/>
    <x v="1"/>
    <m/>
    <m/>
    <s v="Kisii"/>
    <x v="19"/>
    <x v="5"/>
  </r>
  <r>
    <s v="Faith Matete"/>
    <x v="0"/>
    <x v="159"/>
    <x v="0"/>
    <s v="Caroline Omollo"/>
    <n v="29"/>
    <m/>
    <s v="Duncan Omondi"/>
    <s v="Husband"/>
    <s v="Intimate"/>
    <s v="home"/>
    <x v="6"/>
    <s v="Argument"/>
    <s v="under investigation"/>
    <m/>
    <m/>
    <x v="1"/>
    <m/>
    <m/>
    <s v="Nyalenda Kalejo"/>
    <x v="20"/>
    <x v="5"/>
  </r>
  <r>
    <s v="Faith Matete"/>
    <x v="0"/>
    <x v="160"/>
    <x v="0"/>
    <s v="Salina"/>
    <m/>
    <m/>
    <s v="Jacob Odhiambo"/>
    <s v="Husband"/>
    <s v="Intimate"/>
    <s v="Public Space"/>
    <x v="3"/>
    <s v="Argument"/>
    <s v="Not Provided"/>
    <m/>
    <m/>
    <x v="1"/>
    <m/>
    <m/>
    <s v="Waambo village"/>
    <x v="20"/>
    <x v="5"/>
  </r>
  <r>
    <s v="Faith Matete"/>
    <x v="0"/>
    <x v="161"/>
    <x v="0"/>
    <s v="Not Provided"/>
    <m/>
    <m/>
    <s v="Not Provided"/>
    <s v="Boyfriend"/>
    <s v="Intimate"/>
    <s v="Public Space"/>
    <x v="1"/>
    <s v="Not Provided"/>
    <s v="Not Provided"/>
    <m/>
    <m/>
    <x v="1"/>
    <m/>
    <m/>
    <s v="Kajulu"/>
    <x v="20"/>
    <x v="5"/>
  </r>
  <r>
    <s v="John Oywa"/>
    <x v="4"/>
    <x v="162"/>
    <x v="0"/>
    <s v="Veronica Achieng'"/>
    <n v="14"/>
    <m/>
    <s v="Not Provided"/>
    <s v="Family Member"/>
    <s v="Non-intimate"/>
    <s v="Public Space"/>
    <x v="4"/>
    <s v="Others"/>
    <s v="Not Provided"/>
    <m/>
    <m/>
    <x v="1"/>
    <m/>
    <m/>
    <s v="Kisumu town"/>
    <x v="20"/>
    <x v="5"/>
  </r>
  <r>
    <s v="Olivia Odhiambo"/>
    <x v="7"/>
    <x v="163"/>
    <x v="0"/>
    <s v="Cheryl Akinyi"/>
    <n v="12"/>
    <m/>
    <s v="Not Provided"/>
    <s v="Friend"/>
    <s v="Non-intimate"/>
    <s v="Public Space"/>
    <x v="8"/>
    <s v="Not Provided"/>
    <s v="under investigation"/>
    <m/>
    <m/>
    <x v="1"/>
    <m/>
    <m/>
    <s v="Not Provided"/>
    <x v="20"/>
    <x v="5"/>
  </r>
  <r>
    <s v="Kevin Omollo"/>
    <x v="7"/>
    <x v="164"/>
    <x v="0"/>
    <s v="Adhiambo"/>
    <m/>
    <m/>
    <s v="Shem Nyakinda"/>
    <s v="Husband"/>
    <s v="Intimate"/>
    <s v="home"/>
    <x v="4"/>
    <s v="jealousy"/>
    <s v="under investigation"/>
    <m/>
    <m/>
    <x v="1"/>
    <m/>
    <m/>
    <s v="Ziwani village"/>
    <x v="20"/>
    <x v="5"/>
  </r>
  <r>
    <s v="Not Provided"/>
    <x v="19"/>
    <x v="4"/>
    <x v="0"/>
    <s v="Achieng"/>
    <m/>
    <m/>
    <s v="Not Provided"/>
    <s v="Boyfriend"/>
    <s v="Not Provided"/>
    <s v="Not Provided"/>
    <x v="3"/>
    <s v="Not Provided"/>
    <s v="Not Provided"/>
    <m/>
    <m/>
    <x v="1"/>
    <m/>
    <m/>
    <s v="Kisumu County"/>
    <x v="20"/>
    <x v="5"/>
  </r>
  <r>
    <s v="Angeline Ochieng"/>
    <x v="5"/>
    <x v="165"/>
    <x v="0"/>
    <s v="Mercy Akinyi"/>
    <n v="29"/>
    <m/>
    <s v="stanley Eugene"/>
    <s v="Friend"/>
    <s v="Non-intimate"/>
    <s v="home"/>
    <x v="2"/>
    <s v="Others"/>
    <s v="under investigation"/>
    <m/>
    <m/>
    <x v="1"/>
    <m/>
    <m/>
    <s v="Dunga"/>
    <x v="20"/>
    <x v="5"/>
  </r>
  <r>
    <s v="Kevine Omollo"/>
    <x v="7"/>
    <x v="4"/>
    <x v="0"/>
    <s v="Not Provided"/>
    <m/>
    <m/>
    <s v="Not Provided"/>
    <s v="Not Provided"/>
    <s v="Non-intimate"/>
    <s v="home"/>
    <x v="2"/>
    <s v="Not Provided"/>
    <s v="Not Provided"/>
    <m/>
    <m/>
    <x v="1"/>
    <m/>
    <m/>
    <s v="Keti village in Nyangâ€™oma"/>
    <x v="20"/>
    <x v="5"/>
  </r>
  <r>
    <s v="Harold Odhiambo"/>
    <x v="4"/>
    <x v="166"/>
    <x v="0"/>
    <s v="Merciline Awino"/>
    <n v="21"/>
    <m/>
    <s v="Michelle"/>
    <s v="Friend"/>
    <s v="Non-intimate"/>
    <s v="Public Space"/>
    <x v="4"/>
    <s v="jealousy"/>
    <s v="under investigation"/>
    <m/>
    <m/>
    <x v="1"/>
    <m/>
    <m/>
    <s v="Kasawino Market Manyatta"/>
    <x v="20"/>
    <x v="5"/>
  </r>
  <r>
    <s v="Faith Matete"/>
    <x v="0"/>
    <x v="31"/>
    <x v="0"/>
    <s v="Not Provided"/>
    <n v="25"/>
    <d v="2022-05-06T00:00:00"/>
    <s v="Denis Okeyo"/>
    <s v="Husband"/>
    <s v="Intimate"/>
    <s v="home"/>
    <x v="2"/>
    <s v="jealousy"/>
    <s v="under investigation"/>
    <m/>
    <m/>
    <x v="1"/>
    <m/>
    <m/>
    <s v="Koguta village"/>
    <x v="20"/>
    <x v="5"/>
  </r>
  <r>
    <s v="Victor Raballa"/>
    <x v="5"/>
    <x v="167"/>
    <x v="0"/>
    <s v="Marion Ajwang'"/>
    <n v="31"/>
    <m/>
    <s v="Not Provided"/>
    <s v="Husband"/>
    <s v="Intimate"/>
    <s v="home"/>
    <x v="3"/>
    <s v="Not Provided"/>
    <s v="under investigation"/>
    <m/>
    <m/>
    <x v="1"/>
    <m/>
    <m/>
    <s v="Rabuor"/>
    <x v="20"/>
    <x v="5"/>
  </r>
  <r>
    <s v="Maurice Alal"/>
    <x v="0"/>
    <x v="168"/>
    <x v="0"/>
    <s v="Not Provided"/>
    <m/>
    <m/>
    <s v="Not Provided"/>
    <s v="Husband"/>
    <s v="Intimate"/>
    <s v="home"/>
    <x v="1"/>
    <s v="Argument"/>
    <s v="under investigation"/>
    <m/>
    <m/>
    <x v="1"/>
    <m/>
    <m/>
    <s v="Nyakach"/>
    <x v="20"/>
    <x v="5"/>
  </r>
  <r>
    <s v="Maurice Alal"/>
    <x v="0"/>
    <x v="169"/>
    <x v="0"/>
    <s v="Mercy Dache"/>
    <m/>
    <d v="2023-05-22T00:00:00"/>
    <s v="Not Provided"/>
    <s v="Husband"/>
    <s v="Intimate"/>
    <s v="home"/>
    <x v="1"/>
    <s v="Domestic quarrel"/>
    <s v="under investigation"/>
    <m/>
    <m/>
    <x v="1"/>
    <m/>
    <m/>
    <s v="Nyakach"/>
    <x v="20"/>
    <x v="5"/>
  </r>
  <r>
    <s v="Kevin Omolo, Rhoda Okumu And Susan Odawa "/>
    <x v="4"/>
    <x v="170"/>
    <x v="0"/>
    <s v="Millicent Ouma"/>
    <n v="26"/>
    <m/>
    <s v=" Willis Otieno"/>
    <s v="Husband"/>
    <s v="Intimate"/>
    <s v="home"/>
    <x v="4"/>
    <s v="Not Provided"/>
    <s v="Not Provided"/>
    <m/>
    <m/>
    <x v="1"/>
    <m/>
    <m/>
    <s v="Bandani village"/>
    <x v="20"/>
    <x v="5"/>
  </r>
  <r>
    <s v="Paul Mutua"/>
    <x v="7"/>
    <x v="4"/>
    <x v="0"/>
    <s v="Stella Makaa Makuthu"/>
    <n v="23"/>
    <m/>
    <s v="Alexander Mbevo Mutemi"/>
    <s v="Ex-Boyfriend"/>
    <s v="Intimate"/>
    <s v="home"/>
    <x v="4"/>
    <s v="Not Provided"/>
    <s v="Not Provided"/>
    <m/>
    <d v="2020-09-25T00:00:00"/>
    <x v="0"/>
    <m/>
    <n v="2507"/>
    <s v="Kavililo village"/>
    <x v="21"/>
    <x v="3"/>
  </r>
  <r>
    <s v="John Mula"/>
    <x v="4"/>
    <x v="171"/>
    <x v="0"/>
    <s v="Elizabeth Kivuva"/>
    <n v="25"/>
    <m/>
    <s v="Fredrick Mutia"/>
    <s v="Boyfriend"/>
    <s v="Intimate"/>
    <s v="home"/>
    <x v="7"/>
    <s v="Not Provided"/>
    <s v="Not Provided"/>
    <m/>
    <m/>
    <x v="1"/>
    <m/>
    <m/>
    <s v="Kitui"/>
    <x v="21"/>
    <x v="3"/>
  </r>
  <r>
    <s v="Musembi Nzengu"/>
    <x v="0"/>
    <x v="172"/>
    <x v="0"/>
    <s v="Not Provided"/>
    <n v="44"/>
    <m/>
    <s v="Thenge Mutua"/>
    <s v="Husband"/>
    <s v="Intimate"/>
    <s v="home"/>
    <x v="1"/>
    <s v="Argument"/>
    <s v="under investigation"/>
    <m/>
    <m/>
    <x v="1"/>
    <m/>
    <m/>
    <s v="Thua village"/>
    <x v="21"/>
    <x v="3"/>
  </r>
  <r>
    <s v="Musembi Nzengu"/>
    <x v="0"/>
    <x v="173"/>
    <x v="0"/>
    <s v="Ciiru Murimi"/>
    <n v="18"/>
    <d v="2019-05-07T00:00:00"/>
    <s v="John Mutinda"/>
    <s v="Husband"/>
    <s v="Intimate"/>
    <s v="home"/>
    <x v="1"/>
    <s v="Argument"/>
    <s v="under investigation"/>
    <m/>
    <m/>
    <x v="1"/>
    <m/>
    <m/>
    <s v="Katithini village"/>
    <x v="21"/>
    <x v="3"/>
  </r>
  <r>
    <s v="Kitavi Mutua"/>
    <x v="5"/>
    <x v="174"/>
    <x v="0"/>
    <s v="Daisy Mbaluka Mbathe"/>
    <m/>
    <m/>
    <s v="Lawrence Mbindi Ndolo"/>
    <s v="Husband"/>
    <s v="Intimate"/>
    <s v="home"/>
    <x v="1"/>
    <s v="jealousy"/>
    <s v="under investigation"/>
    <m/>
    <m/>
    <x v="1"/>
    <m/>
    <m/>
    <s v="Makuka village"/>
    <x v="21"/>
    <x v="3"/>
  </r>
  <r>
    <s v="Musembi Nzengu"/>
    <x v="0"/>
    <x v="175"/>
    <x v="0"/>
    <s v="Beatrice Nthenya"/>
    <n v="19"/>
    <m/>
    <s v="Michael Nguu Musyoka"/>
    <s v="Boyfriend"/>
    <s v="Intimate"/>
    <s v="home"/>
    <x v="4"/>
    <s v="breakup"/>
    <s v="under investigation"/>
    <m/>
    <m/>
    <x v="1"/>
    <m/>
    <m/>
    <s v="Kisai ward"/>
    <x v="21"/>
    <x v="3"/>
  </r>
  <r>
    <s v="Philip Muasya"/>
    <x v="4"/>
    <x v="28"/>
    <x v="0"/>
    <s v="Joyce Mwnede"/>
    <n v="30"/>
    <d v="2021-05-18T00:00:00"/>
    <s v="Const. David Kimani Nduati"/>
    <s v="Boyfriend"/>
    <s v="Intimate"/>
    <s v="home"/>
    <x v="3"/>
    <s v="Argument"/>
    <s v="under investigation"/>
    <m/>
    <m/>
    <x v="1"/>
    <m/>
    <m/>
    <s v="Mwingi"/>
    <x v="21"/>
    <x v="3"/>
  </r>
  <r>
    <s v=" Zipporah Ngwatu"/>
    <x v="14"/>
    <x v="176"/>
    <x v="0"/>
    <s v="Not Provided"/>
    <n v="39"/>
    <m/>
    <s v="Not Provided"/>
    <s v="Husband"/>
    <s v="Intimate"/>
    <s v="home"/>
    <x v="6"/>
    <s v="Not Provided"/>
    <s v="under investigation"/>
    <m/>
    <m/>
    <x v="1"/>
    <m/>
    <m/>
    <s v="Kitui Town"/>
    <x v="21"/>
    <x v="3"/>
  </r>
  <r>
    <s v="Musembi Nzengu And Gerald Mutethia"/>
    <x v="0"/>
    <x v="177"/>
    <x v="0"/>
    <s v="Mary Nzambi"/>
    <m/>
    <m/>
    <s v="Mutati Mwaniki "/>
    <s v="Boyfriend"/>
    <s v="Intimate"/>
    <s v="home"/>
    <x v="1"/>
    <s v="denied him access to the Sh11,500 monthly support from Red Cross Society "/>
    <s v="Suspect beaten to death"/>
    <m/>
    <m/>
    <x v="1"/>
    <m/>
    <m/>
    <s v="Kiima village in Kamuwongo division of Kyuso sub county"/>
    <x v="21"/>
    <x v="3"/>
  </r>
  <r>
    <s v="Annette Wambulwa"/>
    <x v="0"/>
    <x v="178"/>
    <x v="0"/>
    <s v="Kwekwe Nyanje"/>
    <m/>
    <m/>
    <s v="Mdoe Kombe"/>
    <s v="Husband"/>
    <s v="Intimate"/>
    <s v="home"/>
    <x v="4"/>
    <s v="jealousy"/>
    <s v="Not Provided"/>
    <m/>
    <d v="2020-04-29T00:00:00"/>
    <x v="0"/>
    <n v="20"/>
    <n v="3130"/>
    <s v="Majungwani village"/>
    <x v="22"/>
    <x v="7"/>
  </r>
  <r>
    <s v="Fadhili Fredrick"/>
    <x v="5"/>
    <x v="179"/>
    <x v="0"/>
    <s v="Not Provided"/>
    <m/>
    <m/>
    <s v="Onesmus Mutuku Kilonzo"/>
    <s v="Husband"/>
    <s v="Intimate"/>
    <s v="home"/>
    <x v="1"/>
    <s v="Argument"/>
    <s v="under investigation"/>
    <m/>
    <m/>
    <x v="1"/>
    <m/>
    <m/>
    <s v="Maendeleo village"/>
    <x v="22"/>
    <x v="7"/>
  </r>
  <r>
    <s v="Not Provided"/>
    <x v="0"/>
    <x v="4"/>
    <x v="0"/>
    <s v="Riziki Hamisi"/>
    <n v="22"/>
    <m/>
    <s v="Not Provided"/>
    <s v="Husband"/>
    <s v="Not Provided"/>
    <s v="Not Provided"/>
    <x v="3"/>
    <s v="Not Provided"/>
    <s v="Not Provided"/>
    <m/>
    <m/>
    <x v="1"/>
    <m/>
    <m/>
    <s v="Kwale County"/>
    <x v="22"/>
    <x v="7"/>
  </r>
  <r>
    <s v="Andrew Kasuku"/>
    <x v="0"/>
    <x v="180"/>
    <x v="0"/>
    <s v="Lucy Atieno"/>
    <m/>
    <m/>
    <s v="Tonik Oloo"/>
    <s v="Husband"/>
    <s v="Intimate"/>
    <s v="home"/>
    <x v="7"/>
    <s v="Argument"/>
    <s v="both are dead"/>
    <m/>
    <m/>
    <x v="1"/>
    <m/>
    <m/>
    <s v="Lungalunga"/>
    <x v="22"/>
    <x v="7"/>
  </r>
  <r>
    <s v="Eliud Waithaka"/>
    <x v="0"/>
    <x v="181"/>
    <x v="0"/>
    <s v="Mary Wanjiku Kanyi"/>
    <m/>
    <m/>
    <s v="John Mathenge"/>
    <s v="Husband"/>
    <s v="Intimate"/>
    <s v="home"/>
    <x v="5"/>
    <s v="Drunk"/>
    <s v="Not Provided"/>
    <d v="2018-01-30T00:00:00"/>
    <d v="2018-04-12T00:00:00"/>
    <x v="0"/>
    <n v="20"/>
    <n v="853"/>
    <s v="Likii Estate"/>
    <x v="23"/>
    <x v="1"/>
  </r>
  <r>
    <s v="Steve Njuguna"/>
    <x v="5"/>
    <x v="182"/>
    <x v="0"/>
    <s v="Grace Wamaitha"/>
    <n v="22"/>
    <m/>
    <s v="Not Provided"/>
    <s v="Boyfriend"/>
    <s v="Intimate"/>
    <s v="home"/>
    <x v="2"/>
    <s v="jealousy"/>
    <s v="under investigation"/>
    <m/>
    <m/>
    <x v="1"/>
    <m/>
    <m/>
    <s v="Pesi village"/>
    <x v="23"/>
    <x v="1"/>
  </r>
  <r>
    <s v="Jacinta Mutura"/>
    <x v="7"/>
    <x v="183"/>
    <x v="0"/>
    <s v="Carol Nduta"/>
    <n v="24"/>
    <m/>
    <s v="Njeri"/>
    <s v="Stranger"/>
    <s v="Non-intimate"/>
    <s v="Public Space"/>
    <x v="4"/>
    <s v="jealousy"/>
    <s v="under investigation"/>
    <m/>
    <m/>
    <x v="1"/>
    <m/>
    <m/>
    <s v="Nanyuki town"/>
    <x v="23"/>
    <x v="1"/>
  </r>
  <r>
    <s v="Not Provided"/>
    <x v="3"/>
    <x v="4"/>
    <x v="0"/>
    <s v="Mercy Talam"/>
    <n v="28"/>
    <m/>
    <s v="Not Provided"/>
    <s v="Husband"/>
    <s v="Not Provided"/>
    <s v="Not Provided"/>
    <x v="3"/>
    <s v="Not Provided"/>
    <s v="Not Provided"/>
    <m/>
    <m/>
    <x v="1"/>
    <m/>
    <m/>
    <s v="Laikipia County"/>
    <x v="23"/>
    <x v="1"/>
  </r>
  <r>
    <s v="James Murimi"/>
    <x v="5"/>
    <x v="184"/>
    <x v="0"/>
    <s v="Joyce Syombua"/>
    <n v="34"/>
    <m/>
    <s v="Major Peter Mwaura"/>
    <s v="Ex-Husband"/>
    <s v="Intimate"/>
    <s v="home"/>
    <x v="6"/>
    <s v="jealousy"/>
    <s v="Ongoing hearing"/>
    <d v="2019-11-18T00:00:00"/>
    <m/>
    <x v="1"/>
    <m/>
    <m/>
    <s v="Thigithu Estate"/>
    <x v="23"/>
    <x v="1"/>
  </r>
  <r>
    <s v="Ndichu Wainaina"/>
    <x v="0"/>
    <x v="185"/>
    <x v="0"/>
    <s v="Shiphira Mukami"/>
    <n v="93"/>
    <m/>
    <s v="David Wambugu Kanyi"/>
    <s v="Stranger"/>
    <s v="Not Provided"/>
    <s v="home"/>
    <x v="2"/>
    <s v="Not Provided"/>
    <s v="under investigation"/>
    <m/>
    <m/>
    <x v="1"/>
    <m/>
    <m/>
    <s v="Mutara"/>
    <x v="23"/>
    <x v="1"/>
  </r>
  <r>
    <s v="Kalume Kazungu"/>
    <x v="5"/>
    <x v="186"/>
    <x v="0"/>
    <s v="Janet Nyaga"/>
    <n v="34"/>
    <m/>
    <s v="Samuel Muhuri"/>
    <s v="Husband"/>
    <s v="Intimate"/>
    <s v="home"/>
    <x v="6"/>
    <s v="Argument"/>
    <s v="under investigation"/>
    <m/>
    <m/>
    <x v="1"/>
    <m/>
    <m/>
    <s v="Gadeni"/>
    <x v="24"/>
    <x v="7"/>
  </r>
  <r>
    <s v="Akello Odenyo"/>
    <x v="0"/>
    <x v="187"/>
    <x v="0"/>
    <s v="EKN"/>
    <m/>
    <m/>
    <s v="KMM"/>
    <s v="Ex-Husband"/>
    <s v="Intimate"/>
    <s v="Public Space"/>
    <x v="4"/>
    <s v="Argument"/>
    <s v="Not Provided"/>
    <m/>
    <d v="2021-02-17T00:00:00"/>
    <x v="2"/>
    <n v="0"/>
    <n v="2976"/>
    <s v="Mwala"/>
    <x v="25"/>
    <x v="3"/>
  </r>
  <r>
    <s v="George Owiti"/>
    <x v="0"/>
    <x v="188"/>
    <x v="0"/>
    <s v="Esther Mwongela"/>
    <m/>
    <m/>
    <s v="Not Provided"/>
    <s v="Stranger"/>
    <s v="Not Provided"/>
    <s v="Public Space"/>
    <x v="2"/>
    <s v="Organized crime"/>
    <s v="under investigation"/>
    <m/>
    <m/>
    <x v="1"/>
    <m/>
    <m/>
    <s v="Mlolongo town"/>
    <x v="25"/>
    <x v="3"/>
  </r>
  <r>
    <s v="George Owiti"/>
    <x v="0"/>
    <x v="189"/>
    <x v="0"/>
    <s v="Not Provided"/>
    <m/>
    <m/>
    <s v="Not Provided"/>
    <s v="Stranger"/>
    <s v="Not Provided"/>
    <s v="Public Space"/>
    <x v="6"/>
    <s v="Not Provided"/>
    <s v="under investigation"/>
    <m/>
    <m/>
    <x v="1"/>
    <m/>
    <m/>
    <s v="Machakos town"/>
    <x v="25"/>
    <x v="3"/>
  </r>
  <r>
    <s v="Philomena Kilonzo"/>
    <x v="0"/>
    <x v="190"/>
    <x v="0"/>
    <s v="Joyce Kaswi"/>
    <n v="35"/>
    <m/>
    <s v="Jeminsta Mutua Mbai"/>
    <s v="Ex-Boyfriend"/>
    <s v="Intimate"/>
    <s v="home"/>
    <x v="6"/>
    <s v="Argument"/>
    <s v="both are dead"/>
    <m/>
    <m/>
    <x v="1"/>
    <m/>
    <m/>
    <s v="Makutano"/>
    <x v="25"/>
    <x v="3"/>
  </r>
  <r>
    <s v="Philomena Kilonzo"/>
    <x v="0"/>
    <x v="191"/>
    <x v="0"/>
    <s v="Not Provided"/>
    <m/>
    <d v="2020-05-02T00:00:00"/>
    <s v="Not Provided"/>
    <s v="Husband"/>
    <s v="Intimate"/>
    <s v="home"/>
    <x v="4"/>
    <s v="Argument"/>
    <s v="under investigation"/>
    <m/>
    <m/>
    <x v="1"/>
    <m/>
    <m/>
    <s v="Mutituni"/>
    <x v="25"/>
    <x v="3"/>
  </r>
  <r>
    <s v="George Owiti"/>
    <x v="0"/>
    <x v="192"/>
    <x v="0"/>
    <s v="Elizabeth Koki"/>
    <m/>
    <m/>
    <s v="Christian Kadima"/>
    <s v="Stranger"/>
    <s v="Not Provided"/>
    <s v="home"/>
    <x v="6"/>
    <s v="Not Provided"/>
    <s v="Ongoing hearing"/>
    <d v="2021-03-02T00:00:00"/>
    <m/>
    <x v="1"/>
    <m/>
    <m/>
    <s v="Syokimau"/>
    <x v="25"/>
    <x v="3"/>
  </r>
  <r>
    <s v="George Owiti"/>
    <x v="0"/>
    <x v="193"/>
    <x v="0"/>
    <s v="Not Provided"/>
    <m/>
    <m/>
    <s v="Paul Mutua"/>
    <s v="Boyfriend"/>
    <s v="Intimate"/>
    <s v="home"/>
    <x v="6"/>
    <s v="Drunk"/>
    <s v="under investigation"/>
    <m/>
    <m/>
    <x v="1"/>
    <m/>
    <m/>
    <s v="Tufform settlement"/>
    <x v="25"/>
    <x v="3"/>
  </r>
  <r>
    <s v="George Owiti"/>
    <x v="0"/>
    <x v="194"/>
    <x v="0"/>
    <s v="Mercy Gichuhi"/>
    <n v="25"/>
    <m/>
    <s v="Mwango Nzioka"/>
    <s v="Husband"/>
    <s v="Not Provided"/>
    <s v="home"/>
    <x v="6"/>
    <s v="Not Provided"/>
    <s v="Not Provided"/>
    <m/>
    <m/>
    <x v="1"/>
    <m/>
    <m/>
    <s v="Mitaboni"/>
    <x v="25"/>
    <x v="3"/>
  </r>
  <r>
    <s v="Patrick Mutisya"/>
    <x v="14"/>
    <x v="9"/>
    <x v="0"/>
    <s v="Faith Mueni Mutinga"/>
    <n v="35"/>
    <m/>
    <s v="Harrison Mutisya"/>
    <s v="Husband"/>
    <s v="Not Provided"/>
    <s v="home"/>
    <x v="1"/>
    <s v="Not Provided"/>
    <s v="Not Provided"/>
    <m/>
    <m/>
    <x v="1"/>
    <m/>
    <m/>
    <s v="Kikumbo village"/>
    <x v="25"/>
    <x v="3"/>
  </r>
  <r>
    <s v="Not Provided"/>
    <x v="0"/>
    <x v="195"/>
    <x v="0"/>
    <s v="Irene Wambua"/>
    <n v="21"/>
    <m/>
    <s v="Charles Mwania "/>
    <s v="Boyfriend"/>
    <s v="Not Provided"/>
    <s v="school"/>
    <x v="0"/>
    <s v="Not Provided"/>
    <s v="Not Provided"/>
    <m/>
    <m/>
    <x v="1"/>
    <m/>
    <m/>
    <s v="Mutituni village"/>
    <x v="25"/>
    <x v="3"/>
  </r>
  <r>
    <s v="George Owiti"/>
    <x v="2"/>
    <x v="196"/>
    <x v="0"/>
    <s v="Ndaisi Wavinya"/>
    <n v="25"/>
    <m/>
    <s v="Daniel Mainge"/>
    <s v="Ex-Husband"/>
    <s v="Not Provided"/>
    <s v="home"/>
    <x v="1"/>
    <s v="Not Provided"/>
    <s v="Not Provided"/>
    <m/>
    <m/>
    <x v="1"/>
    <m/>
    <m/>
    <s v="Kalunga village"/>
    <x v="25"/>
    <x v="3"/>
  </r>
  <r>
    <s v="George Owiti"/>
    <x v="0"/>
    <x v="197"/>
    <x v="0"/>
    <s v="Eunice Syokau"/>
    <m/>
    <m/>
    <s v="Peter Mwangi"/>
    <s v="Boyfriend"/>
    <s v="Intimate"/>
    <s v="Public Space"/>
    <x v="4"/>
    <s v="Argument"/>
    <s v="under investigation"/>
    <m/>
    <m/>
    <x v="1"/>
    <m/>
    <m/>
    <s v="Mwala"/>
    <x v="25"/>
    <x v="3"/>
  </r>
  <r>
    <s v="George Owiti"/>
    <x v="20"/>
    <x v="198"/>
    <x v="0"/>
    <s v="Not Provided"/>
    <n v="21"/>
    <m/>
    <s v="Not Provided"/>
    <s v="Boyfriend"/>
    <s v="Not Provided"/>
    <s v="home"/>
    <x v="4"/>
    <s v="Not Provided"/>
    <s v="Not Provided"/>
    <m/>
    <m/>
    <x v="1"/>
    <m/>
    <m/>
    <s v="Kathiani"/>
    <x v="25"/>
    <x v="3"/>
  </r>
  <r>
    <s v="Faustine Mutua"/>
    <x v="0"/>
    <x v="199"/>
    <x v="0"/>
    <s v="Not Provided"/>
    <m/>
    <m/>
    <s v="Not Provided"/>
    <s v="Husband"/>
    <s v="Intimate"/>
    <s v="home"/>
    <x v="1"/>
    <s v="Argument"/>
    <s v="under investigation"/>
    <m/>
    <m/>
    <x v="1"/>
    <m/>
    <m/>
    <s v="Kwa Kiliu market"/>
    <x v="26"/>
    <x v="3"/>
  </r>
  <r>
    <s v="Stephen Nzioka"/>
    <x v="4"/>
    <x v="200"/>
    <x v="0"/>
    <s v="Not Provided"/>
    <m/>
    <m/>
    <s v="Kisilu"/>
    <s v="Husband"/>
    <s v="Intimate"/>
    <s v="home"/>
    <x v="4"/>
    <s v="Argument"/>
    <s v="under investigation"/>
    <m/>
    <m/>
    <x v="1"/>
    <m/>
    <m/>
    <s v="Makindu"/>
    <x v="26"/>
    <x v="3"/>
  </r>
  <r>
    <s v="Mutua Kameti"/>
    <x v="0"/>
    <x v="201"/>
    <x v="0"/>
    <s v="Jackline Mutindi"/>
    <n v="36"/>
    <m/>
    <s v="Not Provided"/>
    <s v="Husband"/>
    <s v="Intimate"/>
    <s v="home"/>
    <x v="4"/>
    <s v="Argument"/>
    <s v="under investigation"/>
    <m/>
    <m/>
    <x v="1"/>
    <m/>
    <m/>
    <s v="Emali Bus park"/>
    <x v="26"/>
    <x v="3"/>
  </r>
  <r>
    <s v="Mutua Kameti"/>
    <x v="0"/>
    <x v="130"/>
    <x v="0"/>
    <s v="Rose Ngina"/>
    <n v="33"/>
    <m/>
    <s v="Maithya Waema"/>
    <s v="Husband"/>
    <s v="Intimate"/>
    <s v="home"/>
    <x v="1"/>
    <s v="jealousy"/>
    <s v="under investigation"/>
    <m/>
    <m/>
    <x v="1"/>
    <m/>
    <m/>
    <s v="Kilungu"/>
    <x v="26"/>
    <x v="3"/>
  </r>
  <r>
    <s v="Stephen Nzioka"/>
    <x v="4"/>
    <x v="202"/>
    <x v="0"/>
    <s v="Ann Makau"/>
    <m/>
    <m/>
    <s v="Nzyuko Makau"/>
    <s v="Ex-Husband"/>
    <s v="Intimate"/>
    <s v="Public Space"/>
    <x v="1"/>
    <s v="Argument"/>
    <s v="both are dead"/>
    <m/>
    <m/>
    <x v="1"/>
    <m/>
    <m/>
    <s v="Kibwezi east"/>
    <x v="26"/>
    <x v="3"/>
  </r>
  <r>
    <s v="Manase Otsialo"/>
    <x v="5"/>
    <x v="203"/>
    <x v="0"/>
    <s v="Not Provided"/>
    <m/>
    <m/>
    <s v="Feisal Ibrahim Yusuf"/>
    <s v="Husband"/>
    <s v="Intimate"/>
    <s v="home"/>
    <x v="4"/>
    <s v="Argument"/>
    <s v="Ongoing hearing"/>
    <d v="2018-07-18T00:00:00"/>
    <m/>
    <x v="1"/>
    <m/>
    <m/>
    <s v="Mandera town"/>
    <x v="27"/>
    <x v="4"/>
  </r>
  <r>
    <s v="Stephen Astariko"/>
    <x v="0"/>
    <x v="204"/>
    <x v="0"/>
    <s v="Halima Mohamed"/>
    <n v="28"/>
    <m/>
    <s v="Abiweli Adan Noor"/>
    <s v="Husband"/>
    <s v="Intimate"/>
    <s v="home"/>
    <x v="4"/>
    <s v="Argument"/>
    <s v="under investigation"/>
    <m/>
    <m/>
    <x v="1"/>
    <m/>
    <m/>
    <s v="Jamuhuri"/>
    <x v="27"/>
    <x v="4"/>
  </r>
  <r>
    <s v="Cyrus Ombati"/>
    <x v="0"/>
    <x v="205"/>
    <x v="0"/>
    <s v="Safo Wako "/>
    <n v="70"/>
    <m/>
    <s v="Not Provided"/>
    <s v="Family Member"/>
    <s v="Non-intimate"/>
    <s v="home"/>
    <x v="1"/>
    <s v="Quarrel"/>
    <s v="under investigation"/>
    <m/>
    <m/>
    <x v="1"/>
    <m/>
    <m/>
    <s v="Sololo"/>
    <x v="28"/>
    <x v="3"/>
  </r>
  <r>
    <s v="Lydiah Nyawira"/>
    <x v="4"/>
    <x v="206"/>
    <x v="0"/>
    <s v="Dorcas Kaguri"/>
    <m/>
    <d v="2005-05-12T00:00:00"/>
    <s v="Julius Koome"/>
    <s v="Husband"/>
    <s v="Intimate"/>
    <s v="home"/>
    <x v="2"/>
    <s v="Argument"/>
    <s v="Not Provided"/>
    <d v="2005-08-13T00:00:00"/>
    <d v="2016-06-24T00:00:00"/>
    <x v="0"/>
    <m/>
    <n v="4061"/>
    <s v="Gaintume village"/>
    <x v="10"/>
    <x v="3"/>
  </r>
  <r>
    <s v="Gerald Mutethia"/>
    <x v="0"/>
    <x v="207"/>
    <x v="0"/>
    <s v="Alice Kinya"/>
    <n v="32"/>
    <m/>
    <s v="Francis Bundi (Deceased)"/>
    <s v="Husband"/>
    <s v="Intimate"/>
    <s v="home"/>
    <x v="2"/>
    <s v="Argument"/>
    <s v="Not Provided"/>
    <m/>
    <m/>
    <x v="1"/>
    <m/>
    <m/>
    <s v="Igembe South"/>
    <x v="10"/>
    <x v="3"/>
  </r>
  <r>
    <s v="Gerald Mutethia"/>
    <x v="0"/>
    <x v="208"/>
    <x v="0"/>
    <s v="Roseline Munala"/>
    <m/>
    <m/>
    <s v="Not Provided"/>
    <s v="Stranger"/>
    <s v="Not Provided"/>
    <s v="Public Space"/>
    <x v="2"/>
    <s v="Organized crime"/>
    <s v="under investigation"/>
    <m/>
    <m/>
    <x v="1"/>
    <m/>
    <m/>
    <s v="Mitunguu vilage"/>
    <x v="10"/>
    <x v="3"/>
  </r>
  <r>
    <s v="Gerald Mutethia"/>
    <x v="0"/>
    <x v="209"/>
    <x v="0"/>
    <s v="Poly Kathambi"/>
    <n v="30"/>
    <m/>
    <s v="Paul Nteere"/>
    <s v="Husband"/>
    <s v="Intimate"/>
    <s v="home"/>
    <x v="1"/>
    <s v="Argument"/>
    <s v="under investigation"/>
    <m/>
    <m/>
    <x v="1"/>
    <m/>
    <m/>
    <s v="Gankere vilage"/>
    <x v="10"/>
    <x v="3"/>
  </r>
  <r>
    <s v="Not Provided"/>
    <x v="5"/>
    <x v="4"/>
    <x v="0"/>
    <s v="Grace Mugure"/>
    <n v="29"/>
    <m/>
    <s v="Not Provided"/>
    <s v="Husband"/>
    <s v="Not Provided"/>
    <s v="Not Provided"/>
    <x v="3"/>
    <s v="Not Provided"/>
    <s v="Not Provided"/>
    <m/>
    <m/>
    <x v="1"/>
    <m/>
    <m/>
    <s v="Meru County"/>
    <x v="10"/>
    <x v="3"/>
  </r>
  <r>
    <s v="Not Provided"/>
    <x v="6"/>
    <x v="4"/>
    <x v="0"/>
    <s v="Anne Kanariu"/>
    <m/>
    <d v="2019-05-06T00:00:00"/>
    <s v="Not Provided"/>
    <s v="Boyfriend"/>
    <s v="Not Provided"/>
    <s v="Not Provided"/>
    <x v="3"/>
    <s v="Not Provided"/>
    <s v="Not Provided"/>
    <m/>
    <m/>
    <x v="1"/>
    <m/>
    <m/>
    <s v="Meru County"/>
    <x v="10"/>
    <x v="3"/>
  </r>
  <r>
    <s v="Charles Wanyoro"/>
    <x v="5"/>
    <x v="210"/>
    <x v="0"/>
    <s v="Not Provided"/>
    <n v="17"/>
    <m/>
    <s v="Not Provided"/>
    <s v="Stranger"/>
    <s v="Non-intimate"/>
    <s v="Public Space"/>
    <x v="6"/>
    <s v="Not Provided"/>
    <s v="under investigation"/>
    <m/>
    <m/>
    <x v="1"/>
    <m/>
    <m/>
    <s v="Imenti"/>
    <x v="10"/>
    <x v="3"/>
  </r>
  <r>
    <s v="Charles Wanyoro"/>
    <x v="5"/>
    <x v="211"/>
    <x v="0"/>
    <s v="Anne Kathure"/>
    <n v="24"/>
    <m/>
    <s v="Not Provided"/>
    <s v="Stranger"/>
    <s v="Non-intimate"/>
    <s v="Public Space"/>
    <x v="4"/>
    <s v="Not Provided"/>
    <s v="under investigation"/>
    <m/>
    <m/>
    <x v="1"/>
    <m/>
    <m/>
    <s v="Gachanaka area"/>
    <x v="10"/>
    <x v="3"/>
  </r>
  <r>
    <s v="Carolyne Kubwa"/>
    <x v="0"/>
    <x v="212"/>
    <x v="0"/>
    <s v="Tabitha Nkatha"/>
    <m/>
    <m/>
    <s v="Jason Likura"/>
    <s v="Family Member"/>
    <s v="Non-intimate"/>
    <s v="home"/>
    <x v="2"/>
    <s v="Others"/>
    <s v="Not Provided"/>
    <m/>
    <d v="2020-06-30T00:00:00"/>
    <x v="0"/>
    <m/>
    <m/>
    <s v="Nkatha"/>
    <x v="10"/>
    <x v="3"/>
  </r>
  <r>
    <s v="Gerald Mutethia"/>
    <x v="0"/>
    <x v="213"/>
    <x v="0"/>
    <s v="Not Provided"/>
    <m/>
    <m/>
    <s v="Patrick Mwirigi"/>
    <s v="Husband"/>
    <s v="Intimate"/>
    <s v="home"/>
    <x v="1"/>
    <s v="Argument"/>
    <s v="under investigation"/>
    <m/>
    <m/>
    <x v="1"/>
    <m/>
    <m/>
    <s v="Kibirichi area"/>
    <x v="10"/>
    <x v="3"/>
  </r>
  <r>
    <s v="David Muchui"/>
    <x v="5"/>
    <x v="214"/>
    <x v="0"/>
    <s v=" Beatrice Gatwiri"/>
    <n v="18"/>
    <m/>
    <s v="Allan Kirimi"/>
    <s v="Boyfriend"/>
    <s v="Intimate"/>
    <s v="Public Space"/>
    <x v="1"/>
    <s v="Not Provided"/>
    <s v="under investigation"/>
    <m/>
    <m/>
    <x v="1"/>
    <m/>
    <m/>
    <s v="Rwerea hill on the outskirts of Mikinduri town"/>
    <x v="10"/>
    <x v="3"/>
  </r>
  <r>
    <s v="Cyrus Ombati"/>
    <x v="0"/>
    <x v="215"/>
    <x v="0"/>
    <s v="Not Provided"/>
    <m/>
    <m/>
    <s v="Pst. BM"/>
    <s v="Husband"/>
    <s v="Intimate"/>
    <s v="home"/>
    <x v="4"/>
    <s v="Argument"/>
    <s v="under investigation"/>
    <m/>
    <m/>
    <x v="1"/>
    <m/>
    <m/>
    <s v="Imenti south"/>
    <x v="10"/>
    <x v="3"/>
  </r>
  <r>
    <s v=" Gitonga Marete"/>
    <x v="5"/>
    <x v="216"/>
    <x v="0"/>
    <s v="Vera Kanario"/>
    <n v="36"/>
    <m/>
    <s v="Boniface Mutuma"/>
    <s v="Husband"/>
    <s v="Intimate"/>
    <s v="home"/>
    <x v="4"/>
    <s v="Not Provided"/>
    <s v="under investigation"/>
    <m/>
    <m/>
    <x v="1"/>
    <m/>
    <m/>
    <s v="Mitunguu market"/>
    <x v="10"/>
    <x v="3"/>
  </r>
  <r>
    <s v=" Gitonga Marete"/>
    <x v="5"/>
    <x v="217"/>
    <x v="0"/>
    <s v="Faith Kinya"/>
    <n v="40"/>
    <m/>
    <s v="Jackson Mworia Rukunga _x000a_"/>
    <s v="Husband"/>
    <s v="Intimate"/>
    <s v="home"/>
    <x v="2"/>
    <s v="Quarrel"/>
    <s v="under investigation"/>
    <m/>
    <m/>
    <x v="1"/>
    <m/>
    <m/>
    <s v="Igoki village"/>
    <x v="10"/>
    <x v="3"/>
  </r>
  <r>
    <s v="Faith Nyasuguta"/>
    <x v="0"/>
    <x v="218"/>
    <x v="0"/>
    <s v="Janet Awuor"/>
    <m/>
    <m/>
    <s v="Enock Akoko"/>
    <s v="Boyfriend"/>
    <s v="Intimate"/>
    <s v="Public Space"/>
    <x v="4"/>
    <s v="Not Provided"/>
    <s v="Not Provided"/>
    <m/>
    <d v="2020-04-17T00:00:00"/>
    <x v="0"/>
    <n v="25"/>
    <n v="2037"/>
    <s v="Highway CompleNot Provided Lodge"/>
    <x v="29"/>
    <x v="5"/>
  </r>
  <r>
    <s v="Vivere Nandiemo"/>
    <x v="5"/>
    <x v="219"/>
    <x v="0"/>
    <s v="Rael Boke Mwita"/>
    <m/>
    <m/>
    <s v="Pintu Boroi Mwita"/>
    <s v="Husband"/>
    <s v="Intimate"/>
    <s v="home"/>
    <x v="4"/>
    <s v="jealousy"/>
    <s v="under investigation"/>
    <m/>
    <m/>
    <x v="1"/>
    <m/>
    <m/>
    <s v="Biasumu village"/>
    <x v="29"/>
    <x v="5"/>
  </r>
  <r>
    <s v="Manuel Odeny"/>
    <x v="0"/>
    <x v="220"/>
    <x v="0"/>
    <s v="Evelyn Musira"/>
    <n v="28"/>
    <m/>
    <s v="Lucas Kuria"/>
    <s v="Husband"/>
    <s v="Intimate"/>
    <s v="home"/>
    <x v="2"/>
    <s v="Argument"/>
    <s v="under investigation"/>
    <m/>
    <m/>
    <x v="1"/>
    <m/>
    <m/>
    <s v="Oruba Estate"/>
    <x v="29"/>
    <x v="5"/>
  </r>
  <r>
    <s v="Caleb Kingwara"/>
    <x v="4"/>
    <x v="221"/>
    <x v="0"/>
    <s v="Lucy Atieno"/>
    <n v="46"/>
    <m/>
    <s v="Samuel Guya"/>
    <s v="Husband"/>
    <s v="Intimate"/>
    <s v="home"/>
    <x v="3"/>
    <s v="Argument"/>
    <s v="both are dead"/>
    <m/>
    <m/>
    <x v="1"/>
    <m/>
    <m/>
    <s v="Arundo village"/>
    <x v="29"/>
    <x v="5"/>
  </r>
  <r>
    <s v="Anne Atieno"/>
    <x v="4"/>
    <x v="222"/>
    <x v="0"/>
    <s v="Maureen Moraa Kiriago"/>
    <n v="27"/>
    <m/>
    <s v="Const, Anthony Njuguna"/>
    <s v="Husband"/>
    <s v="Intimate"/>
    <s v="home"/>
    <x v="7"/>
    <s v="Argument"/>
    <s v="both are dead"/>
    <m/>
    <m/>
    <x v="1"/>
    <m/>
    <m/>
    <s v="Suna East"/>
    <x v="29"/>
    <x v="5"/>
  </r>
  <r>
    <s v=" Lucy Njogu"/>
    <x v="17"/>
    <x v="223"/>
    <x v="0"/>
    <s v=" Yvonne Akinyi"/>
    <n v="20"/>
    <m/>
    <s v="Unknown assailant"/>
    <s v="Stranger"/>
    <s v="Not Provided"/>
    <s v="Public Space"/>
    <x v="8"/>
    <s v="Not Provided"/>
    <s v="Not Provided"/>
    <m/>
    <m/>
    <x v="1"/>
    <m/>
    <m/>
    <s v="Awendo town-Siruti road"/>
    <x v="29"/>
    <x v="5"/>
  </r>
  <r>
    <s v="Malemba Mkongo"/>
    <x v="0"/>
    <x v="224"/>
    <x v="0"/>
    <s v="Martha"/>
    <n v="25"/>
    <m/>
    <s v="Not Provided"/>
    <s v="Stranger"/>
    <s v="Intimate"/>
    <s v="Public Space"/>
    <x v="4"/>
    <s v="Not Provided"/>
    <s v="under investigation"/>
    <m/>
    <m/>
    <x v="1"/>
    <m/>
    <m/>
    <s v="Casablanca Night club"/>
    <x v="30"/>
    <x v="7"/>
  </r>
  <r>
    <s v="Not Provided"/>
    <x v="3"/>
    <x v="4"/>
    <x v="0"/>
    <s v="Peninah Kaimenyi"/>
    <n v="25"/>
    <m/>
    <s v="Not Provided"/>
    <s v="Boyfriend"/>
    <s v="Not Provided"/>
    <s v="Not Provided"/>
    <x v="3"/>
    <s v="Not Provided"/>
    <s v="Not Provided"/>
    <m/>
    <m/>
    <x v="1"/>
    <m/>
    <m/>
    <s v="Mombasa County"/>
    <x v="30"/>
    <x v="7"/>
  </r>
  <r>
    <s v="Not Provided"/>
    <x v="21"/>
    <x v="4"/>
    <x v="0"/>
    <s v="Beatrice Wambui"/>
    <n v="28"/>
    <m/>
    <s v="Not Provided"/>
    <s v="Husband"/>
    <s v="Not Provided"/>
    <s v="Not Provided"/>
    <x v="3"/>
    <s v="Not Provided"/>
    <s v="Not Provided"/>
    <m/>
    <m/>
    <x v="1"/>
    <m/>
    <m/>
    <s v="Mombasa County"/>
    <x v="30"/>
    <x v="7"/>
  </r>
  <r>
    <s v=" Hillary Makokha"/>
    <x v="0"/>
    <x v="225"/>
    <x v="0"/>
    <s v="Ann Mughoi"/>
    <m/>
    <m/>
    <s v="Elisha Misiko"/>
    <s v="Husband"/>
    <s v="Intimate"/>
    <s v="Public Space"/>
    <x v="4"/>
    <s v="Not Provided"/>
    <s v="Not Provided"/>
    <m/>
    <m/>
    <x v="1"/>
    <m/>
    <m/>
    <s v="Chembani in Bamburi"/>
    <x v="30"/>
    <x v="7"/>
  </r>
  <r>
    <s v="Patrick Beja And Willis Oketch"/>
    <x v="7"/>
    <x v="226"/>
    <x v="0"/>
    <s v="Ruth Mavete Mutiso"/>
    <m/>
    <m/>
    <s v="Peter Mukundi"/>
    <s v="Husband"/>
    <s v="Intimate"/>
    <s v="home"/>
    <x v="4"/>
    <s v="Not Provided"/>
    <s v="Not Provided"/>
    <m/>
    <m/>
    <x v="1"/>
    <m/>
    <m/>
    <s v="Mbuyuni village in Likoni"/>
    <x v="30"/>
    <x v="7"/>
  </r>
  <r>
    <s v="Francis Mtalaki"/>
    <x v="1"/>
    <x v="227"/>
    <x v="0"/>
    <s v="Emaily Masinza"/>
    <n v="30"/>
    <m/>
    <s v="Meshack Kosgei"/>
    <s v="Husband"/>
    <s v="Intimate"/>
    <s v="home"/>
    <x v="7"/>
    <s v="Argument"/>
    <s v="Ongoing hearing"/>
    <d v="2022-12-19T00:00:00"/>
    <m/>
    <x v="1"/>
    <m/>
    <m/>
    <s v="Not Provided"/>
    <x v="30"/>
    <x v="7"/>
  </r>
  <r>
    <s v=" Brian Ocharo"/>
    <x v="5"/>
    <x v="70"/>
    <x v="0"/>
    <s v="Eznas Ipale"/>
    <m/>
    <m/>
    <s v="Henry Thuku Kwira"/>
    <s v="Husband"/>
    <s v="Intimate"/>
    <s v="home"/>
    <x v="2"/>
    <s v="Argument"/>
    <s v="under investigation"/>
    <m/>
    <m/>
    <x v="1"/>
    <m/>
    <m/>
    <s v="Mtongwe"/>
    <x v="30"/>
    <x v="7"/>
  </r>
  <r>
    <s v=" Hilary Kimuyu"/>
    <x v="8"/>
    <x v="228"/>
    <x v="0"/>
    <s v="Not Provided"/>
    <n v="32"/>
    <m/>
    <s v="Not Provided"/>
    <s v="Stranger"/>
    <s v="Non-intimate"/>
    <s v="Public Space"/>
    <x v="6"/>
    <s v="payment disagreement"/>
    <s v="under investigation"/>
    <m/>
    <m/>
    <x v="1"/>
    <m/>
    <m/>
    <s v="Bombolulu"/>
    <x v="30"/>
    <x v="7"/>
  </r>
  <r>
    <s v=" Brian Ocharo"/>
    <x v="5"/>
    <x v="229"/>
    <x v="0"/>
    <s v="Anna Kambua"/>
    <m/>
    <m/>
    <s v="Evans Kuti "/>
    <s v="Husband"/>
    <s v="Intimate"/>
    <s v="home"/>
    <x v="4"/>
    <s v="Argument"/>
    <s v="case in court"/>
    <m/>
    <m/>
    <x v="1"/>
    <m/>
    <m/>
    <s v="Chaani"/>
    <x v="30"/>
    <x v="7"/>
  </r>
  <r>
    <s v="Boniface Gikandi"/>
    <x v="4"/>
    <x v="230"/>
    <x v="0"/>
    <s v="Not Provided"/>
    <m/>
    <m/>
    <s v="Simon Muraya"/>
    <s v="Husband"/>
    <s v="Intimate"/>
    <s v="Not Provided"/>
    <x v="3"/>
    <s v="Not Provided"/>
    <s v="under investigation"/>
    <m/>
    <m/>
    <x v="1"/>
    <m/>
    <m/>
    <s v="Not Provided"/>
    <x v="31"/>
    <x v="6"/>
  </r>
  <r>
    <s v="Alice Waithera"/>
    <x v="0"/>
    <x v="231"/>
    <x v="0"/>
    <s v="Margaret Wanjiru"/>
    <n v="10"/>
    <m/>
    <s v="Not Provided"/>
    <s v="Stranger"/>
    <s v="Non-intimate"/>
    <s v="Other"/>
    <x v="8"/>
    <s v="Not Provided"/>
    <s v="Not Provided"/>
    <m/>
    <m/>
    <x v="1"/>
    <m/>
    <m/>
    <s v="Karuku"/>
    <x v="31"/>
    <x v="6"/>
  </r>
  <r>
    <s v="Boniface Gikandi"/>
    <x v="4"/>
    <x v="232"/>
    <x v="0"/>
    <s v="Teresia Wambui Ndirangu"/>
    <n v="22"/>
    <m/>
    <s v="Bernard Kiiru (deceased)"/>
    <s v="Husband"/>
    <s v="Intimate"/>
    <s v="home"/>
    <x v="1"/>
    <s v="unkown"/>
    <s v="under investigation"/>
    <m/>
    <m/>
    <x v="1"/>
    <m/>
    <m/>
    <s v="Mowlem village"/>
    <x v="31"/>
    <x v="6"/>
  </r>
  <r>
    <s v="John Kamau"/>
    <x v="0"/>
    <x v="233"/>
    <x v="0"/>
    <s v="Joyce Wambui"/>
    <n v="58"/>
    <m/>
    <s v="Not Provided"/>
    <s v="Stranger"/>
    <s v="Non-intimate"/>
    <s v="home"/>
    <x v="2"/>
    <s v="wealth possesion"/>
    <s v="under investigation"/>
    <d v="2017-03-02T00:00:00"/>
    <m/>
    <x v="1"/>
    <m/>
    <m/>
    <s v="Maki Estate"/>
    <x v="31"/>
    <x v="6"/>
  </r>
  <r>
    <s v="Allan Mungai"/>
    <x v="7"/>
    <x v="234"/>
    <x v="0"/>
    <s v="Jane Wambui"/>
    <n v="35"/>
    <m/>
    <s v="Julia Nyambura"/>
    <s v="Friend"/>
    <s v="Non-intimate"/>
    <s v="home"/>
    <x v="2"/>
    <s v="jealousy"/>
    <s v="under investigation"/>
    <m/>
    <m/>
    <x v="1"/>
    <m/>
    <m/>
    <s v="Kagumo-ini village"/>
    <x v="31"/>
    <x v="6"/>
  </r>
  <r>
    <s v="Alice Waithera"/>
    <x v="0"/>
    <x v="235"/>
    <x v="0"/>
    <s v="Milkah Muthoni"/>
    <n v="16"/>
    <m/>
    <s v="two students a boy and a girl"/>
    <s v="Friend"/>
    <s v="Non-intimate"/>
    <s v="Public Space"/>
    <x v="2"/>
    <s v="Not Provided"/>
    <s v="under investigation"/>
    <m/>
    <m/>
    <x v="1"/>
    <m/>
    <m/>
    <s v="Mathioya"/>
    <x v="31"/>
    <x v="6"/>
  </r>
  <r>
    <s v="Boniface Gikandi"/>
    <x v="4"/>
    <x v="236"/>
    <x v="0"/>
    <s v="Beatrice Muthoni"/>
    <n v="33"/>
    <m/>
    <s v="Not Provided"/>
    <s v="Husband"/>
    <s v="Intimate"/>
    <s v="home"/>
    <x v="4"/>
    <s v="jealousy"/>
    <s v="under investigation"/>
    <m/>
    <m/>
    <x v="1"/>
    <m/>
    <m/>
    <s v="Kaweru village"/>
    <x v="31"/>
    <x v="6"/>
  </r>
  <r>
    <s v="Alice Waithera"/>
    <x v="0"/>
    <x v="237"/>
    <x v="0"/>
    <s v="Esther Ayenee"/>
    <m/>
    <m/>
    <s v="Simon Ekare"/>
    <s v="Husband"/>
    <s v="Intimate"/>
    <s v="home"/>
    <x v="2"/>
    <s v="jealousy"/>
    <s v="under investigation"/>
    <m/>
    <m/>
    <x v="1"/>
    <m/>
    <m/>
    <s v="Kanderendu village"/>
    <x v="31"/>
    <x v="6"/>
  </r>
  <r>
    <s v="Alice Waithera"/>
    <x v="0"/>
    <x v="238"/>
    <x v="0"/>
    <s v="Christine Ruguru"/>
    <m/>
    <m/>
    <s v="Stephen Mwangi"/>
    <s v="Husband"/>
    <s v="Intimate"/>
    <s v="Other"/>
    <x v="3"/>
    <s v="jealousy"/>
    <s v="Not Provided"/>
    <m/>
    <d v="2018-04-04T00:00:00"/>
    <x v="0"/>
    <n v="2"/>
    <n v="0"/>
    <s v="Not Provided"/>
    <x v="31"/>
    <x v="6"/>
  </r>
  <r>
    <s v="Boniface Gikandi"/>
    <x v="4"/>
    <x v="239"/>
    <x v="0"/>
    <s v="Not Provided"/>
    <n v="12"/>
    <m/>
    <s v="Duncan Wakaihiu"/>
    <s v="Stranger"/>
    <s v="Not Provided"/>
    <s v="home"/>
    <x v="6"/>
    <s v="Not Provided"/>
    <s v="under investigation"/>
    <m/>
    <m/>
    <x v="1"/>
    <m/>
    <m/>
    <s v="Gathumbi village"/>
    <x v="31"/>
    <x v="6"/>
  </r>
  <r>
    <s v="Ndungu Gachane"/>
    <x v="5"/>
    <x v="240"/>
    <x v="0"/>
    <s v="Jedida Wambui Muthengi"/>
    <n v="73"/>
    <m/>
    <s v="Not Provided"/>
    <s v="Stranger"/>
    <s v="Not Provided"/>
    <s v="Public Space"/>
    <x v="6"/>
    <s v="Organized crime"/>
    <s v="under investigation"/>
    <m/>
    <m/>
    <x v="1"/>
    <m/>
    <m/>
    <s v="Maragua Ridge"/>
    <x v="31"/>
    <x v="6"/>
  </r>
  <r>
    <s v="Boniface Gikandi"/>
    <x v="4"/>
    <x v="241"/>
    <x v="0"/>
    <s v="Judy Wanjiru Gacheru"/>
    <n v="32"/>
    <m/>
    <s v="Not Provided"/>
    <s v="Boyfriend"/>
    <s v="Intimate"/>
    <s v="home"/>
    <x v="2"/>
    <s v="Not Provided"/>
    <s v="under investigation"/>
    <m/>
    <m/>
    <x v="1"/>
    <m/>
    <m/>
    <s v="Kamuiru village"/>
    <x v="31"/>
    <x v="6"/>
  </r>
  <r>
    <s v="Alice Waithera"/>
    <x v="0"/>
    <x v="107"/>
    <x v="0"/>
    <s v="Lydia Chege"/>
    <n v="80"/>
    <m/>
    <s v="Not Provided"/>
    <s v="Family Member"/>
    <s v="Non-intimate"/>
    <s v="Public Space"/>
    <x v="0"/>
    <s v="Not Provided"/>
    <s v="under investigation"/>
    <m/>
    <m/>
    <x v="1"/>
    <m/>
    <m/>
    <s v="Kihumbu-ini village"/>
    <x v="31"/>
    <x v="6"/>
  </r>
  <r>
    <s v="Not Provided"/>
    <x v="5"/>
    <x v="4"/>
    <x v="0"/>
    <s v="Sarah Wambui"/>
    <n v="56"/>
    <m/>
    <s v="Not Provided"/>
    <s v="Family Member"/>
    <s v="Not Provided"/>
    <s v="Not Provided"/>
    <x v="3"/>
    <s v="Not Provided"/>
    <s v="Not Provided"/>
    <m/>
    <m/>
    <x v="1"/>
    <m/>
    <m/>
    <s v="Muranga County"/>
    <x v="31"/>
    <x v="6"/>
  </r>
  <r>
    <s v="Boniface Gikandi"/>
    <x v="4"/>
    <x v="242"/>
    <x v="0"/>
    <s v="Millicent Wanjiru"/>
    <n v="27"/>
    <m/>
    <s v="Patrick Chege"/>
    <s v="Boyfriend"/>
    <s v="Intimate"/>
    <s v="Public Space"/>
    <x v="4"/>
    <s v="jealousy"/>
    <s v="under investigation"/>
    <m/>
    <m/>
    <x v="1"/>
    <m/>
    <m/>
    <s v="Liquid Cash Bar"/>
    <x v="31"/>
    <x v="6"/>
  </r>
  <r>
    <s v="Kna"/>
    <x v="0"/>
    <x v="243"/>
    <x v="0"/>
    <s v="Mary Njeri"/>
    <n v="90"/>
    <m/>
    <s v="Not Provided"/>
    <s v="Stranger"/>
    <s v="Non-intimate"/>
    <s v="Public Space"/>
    <x v="4"/>
    <s v="Not Provided"/>
    <s v="under investigation"/>
    <m/>
    <m/>
    <x v="1"/>
    <m/>
    <m/>
    <s v="Kiandugira village"/>
    <x v="31"/>
    <x v="6"/>
  </r>
  <r>
    <s v="Alice Waithera"/>
    <x v="0"/>
    <x v="244"/>
    <x v="0"/>
    <s v="Lucy Wanjiru"/>
    <n v="44"/>
    <d v="2023-05-11T00:00:00"/>
    <s v="Elijah Muthie Njanja"/>
    <s v="Boyfriend"/>
    <s v="Intimate"/>
    <s v="home"/>
    <x v="4"/>
    <s v="Quarrel"/>
    <s v="under investigation"/>
    <m/>
    <m/>
    <x v="1"/>
    <m/>
    <m/>
    <s v="Mukuyu"/>
    <x v="31"/>
    <x v="6"/>
  </r>
  <r>
    <s v="Not Provided"/>
    <x v="22"/>
    <x v="94"/>
    <x v="0"/>
    <s v="Wanjiku Njambi_x000a_"/>
    <m/>
    <m/>
    <s v="Not Provided"/>
    <s v="Husband"/>
    <s v="Intimate"/>
    <s v="home"/>
    <x v="2"/>
    <s v="the two were heard arguing about bhang proceeds"/>
    <s v="under investigation"/>
    <m/>
    <m/>
    <x v="1"/>
    <m/>
    <m/>
    <s v="Mathare estate"/>
    <x v="31"/>
    <x v="6"/>
  </r>
  <r>
    <s v="Mwangi Muiruri"/>
    <x v="5"/>
    <x v="245"/>
    <x v="0"/>
    <s v="Magdalene Wangechi "/>
    <n v="68"/>
    <m/>
    <s v="Patrick Irungu"/>
    <s v="Family Member"/>
    <s v="Non-intimate"/>
    <s v="home"/>
    <x v="1"/>
    <s v="quarrelling over a plate of food"/>
    <s v="Suspect lynched to death"/>
    <m/>
    <m/>
    <x v="1"/>
    <m/>
    <m/>
    <s v="Gaturo village"/>
    <x v="31"/>
    <x v="6"/>
  </r>
  <r>
    <s v="Carolyne Kubwa"/>
    <x v="0"/>
    <x v="246"/>
    <x v="0"/>
    <s v="Sumeya Sadik"/>
    <n v="20"/>
    <m/>
    <s v="Abdi Mohammed Siyat, Najma Ali Mohammed"/>
    <s v="Stranger"/>
    <s v="Not Provided"/>
    <s v="Not Provided"/>
    <x v="3"/>
    <s v="Not Provided"/>
    <s v="under investigation"/>
    <m/>
    <m/>
    <x v="1"/>
    <m/>
    <m/>
    <s v="Eastleigh"/>
    <x v="32"/>
    <x v="8"/>
  </r>
  <r>
    <s v="Kamau Muthoni"/>
    <x v="4"/>
    <x v="247"/>
    <x v="0"/>
    <s v="Wambui Kabiru"/>
    <m/>
    <d v="2011-05-01T00:00:00"/>
    <s v="Moses Dola Otieno"/>
    <s v="Husband"/>
    <s v="Intimate"/>
    <s v="home"/>
    <x v="2"/>
    <s v="Argument"/>
    <s v="Not Provided"/>
    <m/>
    <d v="2018-10-05T00:00:00"/>
    <x v="0"/>
    <n v="10"/>
    <n v="2714"/>
    <s v="Umoja estate"/>
    <x v="32"/>
    <x v="8"/>
  </r>
  <r>
    <s v="Elisha Otieno"/>
    <x v="5"/>
    <x v="248"/>
    <x v="0"/>
    <s v="Mercy Keino"/>
    <m/>
    <m/>
    <s v="William Kabogo"/>
    <s v="Stranger"/>
    <s v="Not Provided"/>
    <s v="Public Space"/>
    <x v="3"/>
    <s v="Not Provided"/>
    <s v="Not Provided"/>
    <m/>
    <d v="2016-10-07T00:00:00"/>
    <x v="2"/>
    <n v="0"/>
    <n v="1939"/>
    <s v="Waiyaki way"/>
    <x v="32"/>
    <x v="8"/>
  </r>
  <r>
    <s v="Benson Matheka"/>
    <x v="5"/>
    <x v="249"/>
    <x v="0"/>
    <s v="Careen Chepchumba"/>
    <m/>
    <m/>
    <s v="Louis Otieno"/>
    <s v="Boyfriend"/>
    <s v="Intimate"/>
    <s v="home"/>
    <x v="6"/>
    <s v="Not Provided"/>
    <s v="under investigation"/>
    <m/>
    <m/>
    <x v="1"/>
    <m/>
    <m/>
    <s v="Santonia court"/>
    <x v="32"/>
    <x v="8"/>
  </r>
  <r>
    <s v="Richard Munguti"/>
    <x v="5"/>
    <x v="250"/>
    <x v="0"/>
    <s v="Mercy Muthethya Ngali"/>
    <n v="19"/>
    <m/>
    <s v="Jame Mulu Mulewa"/>
    <s v="Boyfriend"/>
    <s v="Intimate"/>
    <s v="home"/>
    <x v="4"/>
    <s v="Denied sex"/>
    <s v="Not Provided"/>
    <d v="2012-03-08T00:00:00"/>
    <d v="2018-11-30T00:00:00"/>
    <x v="0"/>
    <m/>
    <n v="2468"/>
    <s v="Mathare North"/>
    <x v="32"/>
    <x v="8"/>
  </r>
  <r>
    <s v="Annette Wambulwa "/>
    <x v="0"/>
    <x v="251"/>
    <x v="0"/>
    <s v="Carolyne Chanjirah"/>
    <m/>
    <m/>
    <s v="Pst. Paul Ng'ang'a"/>
    <s v="Boyfriend"/>
    <s v="Intimate"/>
    <s v="Public Space"/>
    <x v="4"/>
    <s v="Argument"/>
    <s v="Not Provided"/>
    <m/>
    <d v="2020-08-11T00:00:00"/>
    <x v="0"/>
    <m/>
    <n v="3077"/>
    <s v="kawangware"/>
    <x v="32"/>
    <x v="8"/>
  </r>
  <r>
    <s v="Nation Reporter"/>
    <x v="5"/>
    <x v="252"/>
    <x v="0"/>
    <s v="Nelius Nduku"/>
    <n v="40"/>
    <m/>
    <s v="Constable Julius Otieno Kimore"/>
    <s v="Husband"/>
    <s v="Intimate"/>
    <s v="home"/>
    <x v="7"/>
    <s v="Quarrel"/>
    <s v="Murder-suicide"/>
    <m/>
    <m/>
    <x v="1"/>
    <m/>
    <m/>
    <s v="Kamiti Corner in Kasarani"/>
    <x v="32"/>
    <x v="8"/>
  </r>
  <r>
    <s v="Star Reporter"/>
    <x v="0"/>
    <x v="253"/>
    <x v="0"/>
    <s v="Peris Agumbi"/>
    <n v="22"/>
    <m/>
    <s v="Carl Singleton"/>
    <s v="Boyfriend"/>
    <s v="Intimate"/>
    <s v="home"/>
    <x v="0"/>
    <s v="Not Provided"/>
    <s v="Not Provided"/>
    <m/>
    <m/>
    <x v="1"/>
    <m/>
    <m/>
    <s v="Gigiri"/>
    <x v="32"/>
    <x v="8"/>
  </r>
  <r>
    <s v="Lilian Musili"/>
    <x v="7"/>
    <x v="254"/>
    <x v="0"/>
    <s v="Linda Wanjiku Irungu"/>
    <m/>
    <m/>
    <s v="Erustus Ngura Odhiambo"/>
    <s v="Boyfriend"/>
    <s v="Intimate"/>
    <s v="Public Space"/>
    <x v="7"/>
    <s v="Argument"/>
    <s v="Ongoing Court Proceedings"/>
    <d v="2014-12-12T00:00:00"/>
    <d v="2018-07-12T00:00:00"/>
    <x v="0"/>
    <n v="20"/>
    <n v="1309"/>
    <s v="Buruburu Phase 5"/>
    <x v="32"/>
    <x v="8"/>
  </r>
  <r>
    <s v="Gordon Osen"/>
    <x v="0"/>
    <x v="255"/>
    <x v="0"/>
    <s v="AMM"/>
    <m/>
    <m/>
    <s v="POO"/>
    <s v="Husband"/>
    <s v="Intimate"/>
    <s v="home"/>
    <x v="6"/>
    <s v="jealousy"/>
    <s v="under investigation"/>
    <m/>
    <d v="2023-06-01T00:00:00"/>
    <x v="0"/>
    <n v="20"/>
    <n v="2914"/>
    <s v="Buruburu Phase 5"/>
    <x v="32"/>
    <x v="8"/>
  </r>
  <r>
    <s v=" Pkemoi Ng'Enoh"/>
    <x v="4"/>
    <x v="256"/>
    <x v="0"/>
    <s v="Charity Mukami"/>
    <n v="24"/>
    <m/>
    <s v="Martin Kunguru"/>
    <s v="Boyfriend"/>
    <s v="Intimate"/>
    <s v="home"/>
    <x v="4"/>
    <s v="jealousy"/>
    <s v="Not Provided"/>
    <d v="2016-01-07T00:00:00"/>
    <d v="2020-09-24T00:00:00"/>
    <x v="0"/>
    <n v="10"/>
    <n v="1738"/>
    <s v="Nyayo Estate, Embakasi"/>
    <x v="32"/>
    <x v="8"/>
  </r>
  <r>
    <s v="Hilary Kimuyu"/>
    <x v="8"/>
    <x v="257"/>
    <x v="0"/>
    <s v="Nancy Wanza"/>
    <n v="19"/>
    <m/>
    <s v="Job Abuga"/>
    <s v="Boyfriend"/>
    <s v="Intimate"/>
    <s v="home"/>
    <x v="2"/>
    <s v="Not Provided"/>
    <s v="Ongoing hearing"/>
    <d v="2016-02-16T00:00:00"/>
    <m/>
    <x v="1"/>
    <m/>
    <m/>
    <s v="Umoja III estate"/>
    <x v="32"/>
    <x v="8"/>
  </r>
  <r>
    <s v=" Nairobian Reporter "/>
    <x v="4"/>
    <x v="258"/>
    <x v="0"/>
    <s v="Priscillah Waithera"/>
    <n v="54"/>
    <m/>
    <s v="Anthony Kiplagat"/>
    <s v="Boyfriend"/>
    <s v="Intimate"/>
    <s v="home"/>
    <x v="1"/>
    <s v="Not Provided"/>
    <s v="Not Provided"/>
    <m/>
    <m/>
    <x v="1"/>
    <m/>
    <m/>
    <s v="Muthaiga estate"/>
    <x v="32"/>
    <x v="8"/>
  </r>
  <r>
    <s v="Nancy Agutu"/>
    <x v="0"/>
    <x v="259"/>
    <x v="0"/>
    <s v="Grace Wangeci"/>
    <n v="43"/>
    <m/>
    <s v="Richard Alden"/>
    <s v="Boyfriend"/>
    <s v="Intimate"/>
    <s v="home"/>
    <x v="7"/>
    <s v="Not Provided"/>
    <s v="Ongoing hearing"/>
    <d v="2017-01-30T00:00:00"/>
    <m/>
    <x v="1"/>
    <m/>
    <m/>
    <s v="Windy Ridge Road"/>
    <x v="32"/>
    <x v="8"/>
  </r>
  <r>
    <s v="Mary Wambui"/>
    <x v="8"/>
    <x v="260"/>
    <x v="0"/>
    <s v="Edinas Nyainda "/>
    <n v="22"/>
    <m/>
    <s v="Maxwell Okoth"/>
    <s v="Boyfriend"/>
    <s v="Intimate"/>
    <s v="home"/>
    <x v="4"/>
    <s v="Not Provided"/>
    <s v="Not Provided"/>
    <m/>
    <m/>
    <x v="1"/>
    <m/>
    <m/>
    <s v="Kahawa Wendani"/>
    <x v="32"/>
    <x v="8"/>
  </r>
  <r>
    <s v="Star Reporter"/>
    <x v="0"/>
    <x v="261"/>
    <x v="0"/>
    <s v="Jackline Asiko"/>
    <n v="31"/>
    <m/>
    <s v="Geoffrey Shitero"/>
    <s v="Husband"/>
    <s v="Intimate"/>
    <s v="home"/>
    <x v="4"/>
    <s v="Argument"/>
    <s v="under investigation"/>
    <m/>
    <m/>
    <x v="1"/>
    <m/>
    <m/>
    <s v="Kibera slums"/>
    <x v="32"/>
    <x v="8"/>
  </r>
  <r>
    <s v="Kamau Maichuhie "/>
    <x v="4"/>
    <x v="259"/>
    <x v="0"/>
    <s v="Joyce Wangari"/>
    <n v="32"/>
    <m/>
    <s v="George Njenga Chege"/>
    <s v="Husband"/>
    <s v="Intimate"/>
    <s v="home"/>
    <x v="4"/>
    <s v="Not Provided"/>
    <s v="Not Provided"/>
    <m/>
    <m/>
    <x v="1"/>
    <m/>
    <m/>
    <s v="Kiganjo Estate in Thika."/>
    <x v="32"/>
    <x v="8"/>
  </r>
  <r>
    <s v="Cyrus Ombati"/>
    <x v="7"/>
    <x v="262"/>
    <x v="0"/>
    <s v="Grace Nduta Mwaura"/>
    <n v="22"/>
    <m/>
    <s v="Charles Kibe"/>
    <s v="Family Member"/>
    <s v="Non-intimate"/>
    <s v="home"/>
    <x v="3"/>
    <s v="Not Provided"/>
    <s v="Not Provided"/>
    <m/>
    <d v="2017-07-27T00:00:00"/>
    <x v="0"/>
    <m/>
    <n v="183"/>
    <s v="Kahawa Sukari"/>
    <x v="32"/>
    <x v="8"/>
  </r>
  <r>
    <s v="Alphonce Mung"/>
    <x v="0"/>
    <x v="253"/>
    <x v="0"/>
    <s v="Achieng Ochieng"/>
    <m/>
    <d v="2017-05-14T00:00:00"/>
    <s v="Patrick Odhiambo, Celeb Muyonga, and Brian Agunjo."/>
    <s v="Husband"/>
    <s v="Intimate"/>
    <s v="home"/>
    <x v="2"/>
    <s v="Not Provided"/>
    <s v="Ongoing hearing"/>
    <d v="2017-06-21T00:00:00"/>
    <m/>
    <x v="1"/>
    <m/>
    <m/>
    <s v="Ngara"/>
    <x v="32"/>
    <x v="8"/>
  </r>
  <r>
    <s v="Wainaina Wambu"/>
    <x v="4"/>
    <x v="263"/>
    <x v="0"/>
    <s v="Viola Awuor"/>
    <n v="23"/>
    <d v="2017-05-18T00:00:00"/>
    <s v="Patrick Odundo"/>
    <s v="Husband"/>
    <s v="Intimate"/>
    <s v="home"/>
    <x v="4"/>
    <s v="Argument"/>
    <s v="under investigation"/>
    <m/>
    <m/>
    <x v="1"/>
    <m/>
    <m/>
    <s v="Ruaraka Laundry slums"/>
    <x v="32"/>
    <x v="8"/>
  </r>
  <r>
    <s v="George Mugo"/>
    <x v="0"/>
    <x v="264"/>
    <x v="0"/>
    <s v="Grace Njeri"/>
    <n v="30"/>
    <m/>
    <s v="Erastus Kabage Mwangi"/>
    <s v="Husband"/>
    <s v="Intimate"/>
    <s v="home"/>
    <x v="3"/>
    <s v="Argument"/>
    <s v="both are dead"/>
    <m/>
    <m/>
    <x v="1"/>
    <m/>
    <m/>
    <s v="Muthure village"/>
    <x v="32"/>
    <x v="8"/>
  </r>
  <r>
    <s v="Star Reporter"/>
    <x v="0"/>
    <x v="264"/>
    <x v="0"/>
    <s v="Not Provided"/>
    <m/>
    <m/>
    <s v="Not Provided"/>
    <s v="Husband"/>
    <s v="Intimate"/>
    <s v="home"/>
    <x v="5"/>
    <s v="jealousy"/>
    <s v="under investigation"/>
    <m/>
    <m/>
    <x v="1"/>
    <m/>
    <m/>
    <s v="Umoja estate"/>
    <x v="32"/>
    <x v="8"/>
  </r>
  <r>
    <s v="Geoffery Mosoku"/>
    <x v="7"/>
    <x v="265"/>
    <x v="0"/>
    <s v="Lydia Nyaboke Onano"/>
    <n v="26"/>
    <m/>
    <s v="Richard Nyakina"/>
    <s v="Boyfriend"/>
    <s v="Intimate"/>
    <s v="Public Space"/>
    <x v="6"/>
    <s v="jealousy"/>
    <s v="under investigation"/>
    <d v="2017-08-20T00:00:00"/>
    <m/>
    <x v="1"/>
    <m/>
    <m/>
    <s v="Ngong forest"/>
    <x v="32"/>
    <x v="8"/>
  </r>
  <r>
    <s v="Cyrus Ombati"/>
    <x v="4"/>
    <x v="100"/>
    <x v="0"/>
    <s v="Ann Wanjohi"/>
    <m/>
    <m/>
    <s v="Not Provided"/>
    <s v="Boyfriend"/>
    <s v="Intimate"/>
    <s v="Public Space"/>
    <x v="7"/>
    <s v="Others"/>
    <s v="Not Provided"/>
    <m/>
    <m/>
    <x v="1"/>
    <m/>
    <m/>
    <s v="Tom Mboya Street"/>
    <x v="32"/>
    <x v="8"/>
  </r>
  <r>
    <s v="Cyrus Ombati"/>
    <x v="7"/>
    <x v="266"/>
    <x v="0"/>
    <s v="Anne Wanjohi"/>
    <n v="23"/>
    <m/>
    <s v="Samuel Njoroge"/>
    <s v="Boyfriend"/>
    <s v="Intimate"/>
    <s v="Public Space"/>
    <x v="7"/>
    <s v="Argument"/>
    <s v="under investigation"/>
    <m/>
    <m/>
    <x v="1"/>
    <m/>
    <m/>
    <s v="Tom Mboya Street"/>
    <x v="32"/>
    <x v="8"/>
  </r>
  <r>
    <s v="Cyrus Ombati"/>
    <x v="7"/>
    <x v="267"/>
    <x v="0"/>
    <s v="Gabriela Maina"/>
    <n v="40"/>
    <m/>
    <s v="Cyrus Maina Njuguna"/>
    <s v="Ex-Husband"/>
    <s v="Intimate"/>
    <s v="home"/>
    <x v="7"/>
    <s v="breakup"/>
    <s v="under investigation"/>
    <m/>
    <m/>
    <x v="1"/>
    <m/>
    <m/>
    <s v="Karen"/>
    <x v="32"/>
    <x v="8"/>
  </r>
  <r>
    <s v="Stella Cherono"/>
    <x v="8"/>
    <x v="268"/>
    <x v="0"/>
    <s v="Diana Mumbi Mwangi"/>
    <n v="22"/>
    <m/>
    <s v="Ahmed"/>
    <s v="Stranger"/>
    <s v="Not Provided"/>
    <s v="Public Space"/>
    <x v="0"/>
    <s v="Not Provided"/>
    <s v="under investigation"/>
    <m/>
    <m/>
    <x v="1"/>
    <m/>
    <m/>
    <s v="KNH"/>
    <x v="32"/>
    <x v="8"/>
  </r>
  <r>
    <s v="Cyrus Ombati"/>
    <x v="4"/>
    <x v="269"/>
    <x v="0"/>
    <s v="Not Provided"/>
    <m/>
    <m/>
    <s v="Not Provided"/>
    <s v="Husband"/>
    <s v="Intimate"/>
    <s v="home"/>
    <x v="4"/>
    <s v="Argument"/>
    <s v="under investigation"/>
    <m/>
    <m/>
    <x v="1"/>
    <m/>
    <m/>
    <s v="Kibera slums"/>
    <x v="32"/>
    <x v="8"/>
  </r>
  <r>
    <s v="Star Reporter"/>
    <x v="0"/>
    <x v="270"/>
    <x v="0"/>
    <s v="Not Provided"/>
    <m/>
    <m/>
    <s v="Titus Masika"/>
    <s v="Husband"/>
    <s v="Intimate"/>
    <s v="Workplace"/>
    <x v="2"/>
    <s v="Argument"/>
    <s v="under investigation"/>
    <m/>
    <m/>
    <x v="1"/>
    <m/>
    <m/>
    <s v="Ngong road"/>
    <x v="32"/>
    <x v="8"/>
  </r>
  <r>
    <s v="Joseph Ndunda And Maureen Kinyanjui"/>
    <x v="0"/>
    <x v="271"/>
    <x v="0"/>
    <s v="Ann Gathoni"/>
    <n v="35"/>
    <d v="2018-05-06T00:00:00"/>
    <s v="Maina"/>
    <s v="Boyfriend"/>
    <s v="Intimate"/>
    <s v="home"/>
    <x v="6"/>
    <s v="Argument"/>
    <s v="under investigation"/>
    <m/>
    <m/>
    <x v="1"/>
    <m/>
    <m/>
    <s v="Marurui village"/>
    <x v="32"/>
    <x v="8"/>
  </r>
  <r>
    <s v="Star Reporter"/>
    <x v="0"/>
    <x v="272"/>
    <x v="0"/>
    <s v="Not Provided"/>
    <n v="30"/>
    <d v="2018-05-14T00:00:00"/>
    <s v="Not Provided"/>
    <s v="Boyfriend"/>
    <s v="Intimate"/>
    <s v="home"/>
    <x v="7"/>
    <s v="Not Provided"/>
    <s v="under investigation"/>
    <m/>
    <m/>
    <x v="1"/>
    <m/>
    <m/>
    <s v="Ruai AP camp"/>
    <x v="32"/>
    <x v="8"/>
  </r>
  <r>
    <s v="Cyrus Ombati"/>
    <x v="7"/>
    <x v="273"/>
    <x v="0"/>
    <s v="Not Provided"/>
    <m/>
    <m/>
    <s v="Not Provided"/>
    <s v="Stranger"/>
    <s v="Non-intimate"/>
    <s v="home"/>
    <x v="2"/>
    <s v="Not Provided"/>
    <s v="under investigation"/>
    <m/>
    <m/>
    <x v="1"/>
    <m/>
    <m/>
    <s v="Chokaa"/>
    <x v="32"/>
    <x v="8"/>
  </r>
  <r>
    <s v="Mercy Asamba"/>
    <x v="4"/>
    <x v="219"/>
    <x v="0"/>
    <s v="Monica Nyawira Kimani"/>
    <n v="29"/>
    <m/>
    <s v="Joseph Kuria Irungu"/>
    <s v="Friend"/>
    <s v="Non-intimate"/>
    <s v="home"/>
    <x v="4"/>
    <s v="Not Provided"/>
    <s v="Ongoing hearing"/>
    <d v="2018-09-26T00:00:00"/>
    <m/>
    <x v="1"/>
    <m/>
    <m/>
    <s v="Kilimani"/>
    <x v="32"/>
    <x v="8"/>
  </r>
  <r>
    <s v="Carolyne Kubwa"/>
    <x v="0"/>
    <x v="274"/>
    <x v="0"/>
    <s v="Grace Adhiambo"/>
    <m/>
    <m/>
    <s v="Emmanuel Owuor"/>
    <s v="Ex-Husband"/>
    <s v="Intimate"/>
    <s v="Public Space"/>
    <x v="3"/>
    <s v="Not Provided"/>
    <s v="under investigation"/>
    <m/>
    <m/>
    <x v="1"/>
    <m/>
    <m/>
    <s v="GNK Hamza Hotel lodge"/>
    <x v="32"/>
    <x v="8"/>
  </r>
  <r>
    <s v="Akello Odenyo"/>
    <x v="0"/>
    <x v="275"/>
    <x v="0"/>
    <s v="Beryl Adhiambo Ouma"/>
    <n v="28"/>
    <m/>
    <s v="Lyko Onyango"/>
    <s v="Husband"/>
    <s v="Intimate"/>
    <s v="home"/>
    <x v="6"/>
    <s v="Argument"/>
    <s v="Ongoing hearing"/>
    <d v="2019-02-22T00:00:00"/>
    <m/>
    <x v="1"/>
    <m/>
    <m/>
    <s v="Kahawa Sukari"/>
    <x v="32"/>
    <x v="8"/>
  </r>
  <r>
    <s v="Not Provided"/>
    <x v="23"/>
    <x v="4"/>
    <x v="0"/>
    <s v="Wanjiru"/>
    <m/>
    <m/>
    <s v="Not Provided"/>
    <s v="Boyfriend"/>
    <s v="Not Provided"/>
    <s v="Not Provided"/>
    <x v="3"/>
    <s v="Not Provided"/>
    <s v="Not Provided"/>
    <m/>
    <m/>
    <x v="1"/>
    <m/>
    <m/>
    <s v="Nairobi County"/>
    <x v="32"/>
    <x v="8"/>
  </r>
  <r>
    <s v="Not Provided"/>
    <x v="6"/>
    <x v="4"/>
    <x v="0"/>
    <s v="Hellen Kwamboka"/>
    <m/>
    <d v="2019-05-25T00:00:00"/>
    <s v="Not Provided"/>
    <s v="Boyfriend"/>
    <s v="Not Provided"/>
    <s v="Not Provided"/>
    <x v="3"/>
    <s v="Not Provided"/>
    <s v="Not Provided"/>
    <m/>
    <m/>
    <x v="1"/>
    <m/>
    <m/>
    <s v="Nairobi County"/>
    <x v="32"/>
    <x v="8"/>
  </r>
  <r>
    <s v="Carolyne Kubwa"/>
    <x v="0"/>
    <x v="276"/>
    <x v="0"/>
    <s v="Eunice Adhiambo"/>
    <m/>
    <m/>
    <s v="John Otieno"/>
    <s v="Ex-Husband"/>
    <s v="Intimate"/>
    <s v="Public Space"/>
    <x v="4"/>
    <s v="Argument"/>
    <s v="Ongoing hearing"/>
    <d v="2019-11-07T00:00:00"/>
    <m/>
    <x v="1"/>
    <m/>
    <m/>
    <s v="Soweto Estate"/>
    <x v="32"/>
    <x v="8"/>
  </r>
  <r>
    <s v="Corazon Wafula"/>
    <x v="0"/>
    <x v="277"/>
    <x v="0"/>
    <s v="Priscila Cherono"/>
    <m/>
    <m/>
    <s v="Washington Onyango"/>
    <s v="Husband"/>
    <s v="Intimate"/>
    <s v="home"/>
    <x v="3"/>
    <s v="Not Provided"/>
    <s v="under investigation"/>
    <m/>
    <m/>
    <x v="1"/>
    <m/>
    <m/>
    <s v="Kioi area"/>
    <x v="32"/>
    <x v="8"/>
  </r>
  <r>
    <s v="Carolyne Kubwa"/>
    <x v="0"/>
    <x v="278"/>
    <x v="0"/>
    <s v="Edidah Wanjiku"/>
    <m/>
    <m/>
    <s v="James Otieno"/>
    <s v="Boyfriend"/>
    <s v="Intimate"/>
    <s v="home"/>
    <x v="3"/>
    <s v="Not Provided"/>
    <s v="under investigation"/>
    <m/>
    <m/>
    <x v="1"/>
    <m/>
    <m/>
    <s v="Donholm estate"/>
    <x v="32"/>
    <x v="8"/>
  </r>
  <r>
    <s v="Corazon Wafula "/>
    <x v="0"/>
    <x v="279"/>
    <x v="0"/>
    <s v="Catherine Mwove"/>
    <n v="44"/>
    <m/>
    <s v="Mwanza Ukadidi Didier"/>
    <s v="Boyfriend"/>
    <s v="Intimate"/>
    <s v="home"/>
    <x v="2"/>
    <s v="Not Provided"/>
    <s v="Ongoing hearing"/>
    <d v="2020-05-04T00:00:00"/>
    <m/>
    <x v="1"/>
    <m/>
    <m/>
    <s v="pipeline estate"/>
    <x v="32"/>
    <x v="8"/>
  </r>
  <r>
    <s v="Corazon Wafula"/>
    <x v="0"/>
    <x v="280"/>
    <x v="0"/>
    <s v="Not Provided"/>
    <m/>
    <d v="2020-05-31T00:00:00"/>
    <s v="David Migwi Kariuki"/>
    <s v="Boyfriend"/>
    <s v="Intimate"/>
    <s v="Not Provided"/>
    <x v="1"/>
    <s v="Not Provided"/>
    <s v="Ongoing hearing"/>
    <d v="2020-06-04T00:00:00"/>
    <m/>
    <x v="1"/>
    <m/>
    <m/>
    <s v="Umoja estate"/>
    <x v="32"/>
    <x v="8"/>
  </r>
  <r>
    <s v="Not Provided"/>
    <x v="5"/>
    <x v="281"/>
    <x v="0"/>
    <s v="Sheila Njeri Murage"/>
    <m/>
    <m/>
    <s v="christine Awuor, Claire chepkoech, Shem Lwanga"/>
    <s v="Friend"/>
    <s v="Non-intimate"/>
    <s v="Public Space"/>
    <x v="2"/>
    <s v="Not Provided"/>
    <s v="Ongoing hearing"/>
    <d v="2020-07-23T00:00:00"/>
    <m/>
    <x v="1"/>
    <m/>
    <m/>
    <s v="Santonia court"/>
    <x v="32"/>
    <x v="8"/>
  </r>
  <r>
    <s v="Corazon Wafula"/>
    <x v="0"/>
    <x v="282"/>
    <x v="0"/>
    <s v="Abbisseneh Katungu"/>
    <m/>
    <m/>
    <s v="Jescah Kalumu Mungatu"/>
    <s v="Family Member"/>
    <s v="Non-intimate"/>
    <s v="home"/>
    <x v="6"/>
    <s v="Argument"/>
    <s v="Ongoing hearing"/>
    <d v="2020-12-02T00:00:00"/>
    <m/>
    <x v="1"/>
    <m/>
    <m/>
    <s v="Makadara"/>
    <x v="32"/>
    <x v="8"/>
  </r>
  <r>
    <s v="Mate Tongola"/>
    <x v="2"/>
    <x v="283"/>
    <x v="0"/>
    <s v="Not Provided"/>
    <m/>
    <m/>
    <s v="Joseph Njenga"/>
    <s v="Boyfriend"/>
    <s v="Not Provided"/>
    <s v="home"/>
    <x v="4"/>
    <s v="Not Provided"/>
    <s v="Not Provided"/>
    <m/>
    <m/>
    <x v="1"/>
    <m/>
    <m/>
    <s v="Kasarani"/>
    <x v="32"/>
    <x v="8"/>
  </r>
  <r>
    <s v="By _x000a_ Vincent Achuka"/>
    <x v="11"/>
    <x v="284"/>
    <x v="0"/>
    <s v="Charity Cheboi"/>
    <n v="34"/>
    <m/>
    <s v="Kevin kipkoech"/>
    <s v="Boyfriend"/>
    <s v="Intimate"/>
    <s v="home"/>
    <x v="6"/>
    <s v="Not Provided"/>
    <s v="both are dead"/>
    <m/>
    <m/>
    <x v="1"/>
    <m/>
    <m/>
    <s v="government quatres"/>
    <x v="32"/>
    <x v="8"/>
  </r>
  <r>
    <s v="Cyrus Ombati"/>
    <x v="0"/>
    <x v="285"/>
    <x v="0"/>
    <s v="Velvine Nungari"/>
    <n v="24"/>
    <m/>
    <s v="Joseph Murimi"/>
    <s v="Stranger"/>
    <s v="Not Provided"/>
    <s v="Public Space"/>
    <x v="2"/>
    <s v="Not Provided"/>
    <s v="Not Provided"/>
    <m/>
    <m/>
    <x v="1"/>
    <m/>
    <m/>
    <s v="Kiamumbi area"/>
    <x v="32"/>
    <x v="8"/>
  </r>
  <r>
    <s v="Kamore Maina"/>
    <x v="7"/>
    <x v="286"/>
    <x v="0"/>
    <s v="Not Provided"/>
    <n v="22"/>
    <m/>
    <s v="James Wafula"/>
    <s v="Boyfriend"/>
    <s v="Not Provided"/>
    <s v="home"/>
    <x v="4"/>
    <s v="Not Provided"/>
    <s v="Not Provided"/>
    <m/>
    <m/>
    <x v="1"/>
    <m/>
    <m/>
    <s v="Kangemi"/>
    <x v="32"/>
    <x v="8"/>
  </r>
  <r>
    <s v="Cyrus Ombati"/>
    <x v="0"/>
    <x v="287"/>
    <x v="0"/>
    <s v="Monicah Katunge Katee"/>
    <m/>
    <m/>
    <s v="Not Provided"/>
    <s v="Boyfriend"/>
    <s v="Intimate"/>
    <s v="home"/>
    <x v="7"/>
    <s v="Argument"/>
    <s v="under investigation"/>
    <m/>
    <m/>
    <x v="1"/>
    <m/>
    <m/>
    <s v="Mukarara village"/>
    <x v="32"/>
    <x v="8"/>
  </r>
  <r>
    <s v="James Wanzala"/>
    <x v="4"/>
    <x v="288"/>
    <x v="0"/>
    <s v="Not Provided"/>
    <m/>
    <m/>
    <s v="Not Provided"/>
    <s v="Husband"/>
    <s v="Intimate"/>
    <s v="home"/>
    <x v="4"/>
    <s v="Argument"/>
    <s v="under investigation"/>
    <m/>
    <m/>
    <x v="1"/>
    <m/>
    <m/>
    <s v="Kware Embakasi"/>
    <x v="32"/>
    <x v="8"/>
  </r>
  <r>
    <s v="Carolyne Kubwa"/>
    <x v="0"/>
    <x v="289"/>
    <x v="0"/>
    <s v="Faith Nyatichi"/>
    <m/>
    <m/>
    <s v="Stephen Mauti"/>
    <s v="Husband"/>
    <s v="Intimate"/>
    <s v="home"/>
    <x v="6"/>
    <s v="jealousy"/>
    <s v="Ongoing hearing"/>
    <d v="2021-10-17T00:00:00"/>
    <m/>
    <x v="1"/>
    <m/>
    <m/>
    <s v="Kangemi"/>
    <x v="32"/>
    <x v="8"/>
  </r>
  <r>
    <s v="Nzau Musau"/>
    <x v="4"/>
    <x v="290"/>
    <x v="0"/>
    <s v="Kate Mitchell"/>
    <m/>
    <m/>
    <s v="Not Provided"/>
    <s v="Stranger"/>
    <s v="Not Provided"/>
    <s v="Public Space"/>
    <x v="4"/>
    <s v="Not Provided"/>
    <s v="both are dead"/>
    <m/>
    <m/>
    <x v="1"/>
    <m/>
    <m/>
    <s v="Westland hotel"/>
    <x v="32"/>
    <x v="8"/>
  </r>
  <r>
    <s v="Cyrus Ombati And Laura Shatuma"/>
    <x v="0"/>
    <x v="194"/>
    <x v="0"/>
    <s v="Carol Imbatu"/>
    <m/>
    <m/>
    <s v="Const. Benson Imbatu"/>
    <s v="Boyfriend"/>
    <s v="Intimate"/>
    <s v="home"/>
    <x v="7"/>
    <s v="Argument"/>
    <s v="both are dead"/>
    <m/>
    <m/>
    <x v="1"/>
    <m/>
    <m/>
    <s v="Kabete area"/>
    <x v="32"/>
    <x v="8"/>
  </r>
  <r>
    <s v="Mate Tongola"/>
    <x v="4"/>
    <x v="291"/>
    <x v="0"/>
    <s v="Snorine Ambrose"/>
    <m/>
    <m/>
    <s v="Not Provided"/>
    <s v="Ex-Boyfriend"/>
    <s v="Intimate"/>
    <s v="home"/>
    <x v="4"/>
    <s v="breakup"/>
    <s v="under investigation"/>
    <m/>
    <m/>
    <x v="1"/>
    <m/>
    <m/>
    <s v="Kayole"/>
    <x v="32"/>
    <x v="8"/>
  </r>
  <r>
    <s v="Patrick Vidija"/>
    <x v="4"/>
    <x v="292"/>
    <x v="0"/>
    <s v="Rahab Gathoni"/>
    <m/>
    <m/>
    <s v="Sebastian Kamande"/>
    <s v="Husband"/>
    <s v="Intimate"/>
    <s v="home"/>
    <x v="0"/>
    <s v="Not Provided"/>
    <s v="under investigation"/>
    <m/>
    <m/>
    <x v="1"/>
    <m/>
    <m/>
    <s v="Dandora"/>
    <x v="32"/>
    <x v="8"/>
  </r>
  <r>
    <s v="Cyrus Ombati"/>
    <x v="0"/>
    <x v="293"/>
    <x v="0"/>
    <s v="Vanitah Nikesh"/>
    <n v="27"/>
    <m/>
    <s v="Nikesh Harji Shanghani"/>
    <s v="Husband"/>
    <s v="Intimate"/>
    <s v="home"/>
    <x v="3"/>
    <s v="Not Provided"/>
    <s v="under investigation"/>
    <m/>
    <m/>
    <x v="1"/>
    <m/>
    <m/>
    <s v="Lang'ata area"/>
    <x v="32"/>
    <x v="8"/>
  </r>
  <r>
    <s v="Cyrus Ombati"/>
    <x v="0"/>
    <x v="294"/>
    <x v="0"/>
    <s v="Not Provided"/>
    <n v="25"/>
    <m/>
    <s v="Peter Kamau"/>
    <s v="Boyfriend"/>
    <s v="Intimate"/>
    <s v="home"/>
    <x v="0"/>
    <s v="Not Provided"/>
    <s v="under investigation"/>
    <m/>
    <m/>
    <x v="1"/>
    <m/>
    <m/>
    <s v="Drive inn"/>
    <x v="32"/>
    <x v="8"/>
  </r>
  <r>
    <s v="Cyrus Ombati"/>
    <x v="0"/>
    <x v="295"/>
    <x v="0"/>
    <s v="Maggy"/>
    <m/>
    <m/>
    <s v="Not Provided"/>
    <s v="Boyfriend"/>
    <s v="Intimate"/>
    <s v="home"/>
    <x v="4"/>
    <s v="Not Provided"/>
    <s v="under investigation"/>
    <m/>
    <m/>
    <x v="1"/>
    <m/>
    <m/>
    <s v="Huruma area"/>
    <x v="32"/>
    <x v="8"/>
  </r>
  <r>
    <s v="Cyrus Ombati"/>
    <x v="0"/>
    <x v="296"/>
    <x v="0"/>
    <s v="Pamela Asesa"/>
    <n v="26"/>
    <m/>
    <s v="Edwin Onditi Odada"/>
    <s v="Friend"/>
    <s v="Non-intimate"/>
    <s v="home"/>
    <x v="6"/>
    <s v="Not Provided"/>
    <s v="under investigation"/>
    <m/>
    <m/>
    <x v="1"/>
    <m/>
    <m/>
    <s v="Mowlwm"/>
    <x v="32"/>
    <x v="8"/>
  </r>
  <r>
    <s v="Star Reporter"/>
    <x v="0"/>
    <x v="84"/>
    <x v="0"/>
    <s v="Naneu Muthoni"/>
    <n v="31"/>
    <m/>
    <s v="Thomas Mbugua Muthee"/>
    <s v="Boyfriend"/>
    <s v="Intimate"/>
    <s v="home"/>
    <x v="4"/>
    <s v="Argument"/>
    <s v="Ongoing hearing"/>
    <d v="2023-01-03T00:00:00"/>
    <m/>
    <x v="1"/>
    <m/>
    <m/>
    <s v="Oyoka Estate"/>
    <x v="32"/>
    <x v="8"/>
  </r>
  <r>
    <s v="Cyrus Ombati"/>
    <x v="0"/>
    <x v="283"/>
    <x v="0"/>
    <s v="Wangethi Chege"/>
    <m/>
    <m/>
    <s v="Not Provided"/>
    <s v="Friend"/>
    <s v="Non-intimate"/>
    <s v="home"/>
    <x v="4"/>
    <s v="Drunk"/>
    <s v="under investigation"/>
    <m/>
    <m/>
    <x v="1"/>
    <m/>
    <m/>
    <s v="Zimmerman"/>
    <x v="32"/>
    <x v="8"/>
  </r>
  <r>
    <s v="Cyrus Ombati"/>
    <x v="0"/>
    <x v="297"/>
    <x v="0"/>
    <s v="Not Provided"/>
    <m/>
    <m/>
    <s v="Joseph Wanaina"/>
    <s v="Boyfriend"/>
    <s v="Intimate"/>
    <s v="home"/>
    <x v="6"/>
    <s v="domestic fight"/>
    <s v="under investigation"/>
    <m/>
    <m/>
    <x v="1"/>
    <m/>
    <m/>
    <s v="Tushauriane"/>
    <x v="32"/>
    <x v="8"/>
  </r>
  <r>
    <s v=" Mary Wambui"/>
    <x v="5"/>
    <x v="298"/>
    <x v="0"/>
    <s v="Rhoda Machuma Chepchumba "/>
    <n v="28"/>
    <m/>
    <s v="Mark Mulanda"/>
    <s v="Husband"/>
    <s v="Intimate"/>
    <s v="home"/>
    <x v="7"/>
    <s v="Not Provided"/>
    <s v="Murder-suicide"/>
    <m/>
    <m/>
    <x v="1"/>
    <m/>
    <m/>
    <s v="Mugumoini chief's camp"/>
    <x v="32"/>
    <x v="8"/>
  </r>
  <r>
    <s v="Edwin Obuya"/>
    <x v="1"/>
    <x v="299"/>
    <x v="0"/>
    <s v="Not Provided"/>
    <n v="28"/>
    <m/>
    <s v="Not Provided"/>
    <s v="Boyfriend"/>
    <s v="Intimate"/>
    <s v="home"/>
    <x v="7"/>
    <s v="Not Provided"/>
    <s v="both are dead"/>
    <m/>
    <m/>
    <x v="1"/>
    <m/>
    <m/>
    <s v="Langata"/>
    <x v="32"/>
    <x v="8"/>
  </r>
  <r>
    <s v=" Nyaboga Kiage"/>
    <x v="5"/>
    <x v="300"/>
    <x v="0"/>
    <s v="Lucy Wanjiku Maina"/>
    <n v="35"/>
    <m/>
    <s v="Samuel Longitude"/>
    <s v="Husband"/>
    <s v="Intimate"/>
    <s v="home"/>
    <x v="4"/>
    <s v="domestic argument"/>
    <s v="Murder-suicide"/>
    <m/>
    <m/>
    <x v="1"/>
    <m/>
    <m/>
    <s v="Kasarani"/>
    <x v="32"/>
    <x v="8"/>
  </r>
  <r>
    <s v=" Mercy Koskei"/>
    <x v="5"/>
    <x v="301"/>
    <x v="0"/>
    <s v="June Jerop Kangogo"/>
    <n v="36"/>
    <m/>
    <s v="Jesse Wafula Wakukha"/>
    <s v="Boyfriend"/>
    <s v="Intimate"/>
    <s v="Other"/>
    <x v="4"/>
    <s v="Not Provided"/>
    <s v="under investigation"/>
    <m/>
    <m/>
    <x v="1"/>
    <m/>
    <m/>
    <s v="Roadside in Jamhuri Estate"/>
    <x v="32"/>
    <x v="8"/>
  </r>
  <r>
    <s v="Cyrus Ombati"/>
    <x v="0"/>
    <x v="302"/>
    <x v="0"/>
    <s v="Not Provided"/>
    <n v="9"/>
    <m/>
    <s v="Not Provided"/>
    <s v="Stranger"/>
    <s v="Non-intimate"/>
    <s v="Public Space"/>
    <x v="3"/>
    <s v="Not Provided"/>
    <s v="under investigation"/>
    <m/>
    <m/>
    <x v="1"/>
    <m/>
    <m/>
    <s v="Kasarani"/>
    <x v="32"/>
    <x v="8"/>
  </r>
  <r>
    <s v="Cyrus Ombati"/>
    <x v="0"/>
    <x v="255"/>
    <x v="0"/>
    <s v="Doreen"/>
    <n v="33"/>
    <d v="2023-05-30T00:00:00"/>
    <s v="William Papai"/>
    <s v="Boyfriend"/>
    <s v="Intimate"/>
    <s v="home"/>
    <x v="4"/>
    <s v="Not Provided"/>
    <s v="under investigation"/>
    <m/>
    <m/>
    <x v="1"/>
    <m/>
    <m/>
    <s v="Kamulu"/>
    <x v="32"/>
    <x v="8"/>
  </r>
  <r>
    <s v="Cyrus Ombati"/>
    <x v="0"/>
    <x v="157"/>
    <x v="0"/>
    <s v="Not Provided"/>
    <n v="42"/>
    <m/>
    <s v="Not Provided"/>
    <s v="Husband"/>
    <s v="Intimate"/>
    <s v="home"/>
    <x v="4"/>
    <s v="Domestic quarrel"/>
    <s v="under investigation"/>
    <m/>
    <m/>
    <x v="1"/>
    <m/>
    <m/>
    <s v="Buruburu"/>
    <x v="32"/>
    <x v="8"/>
  </r>
  <r>
    <s v="Nation Reporter"/>
    <x v="5"/>
    <x v="303"/>
    <x v="0"/>
    <s v="Viona Achieng"/>
    <n v="23"/>
    <m/>
    <s v="Nicholas Ouma Ochieng"/>
    <s v="Ex-Husband"/>
    <s v="Intimate"/>
    <s v="home"/>
    <x v="4"/>
    <s v="Not Provided"/>
    <s v="under investigation"/>
    <m/>
    <m/>
    <x v="1"/>
    <m/>
    <m/>
    <s v="Kariadudu"/>
    <x v="32"/>
    <x v="8"/>
  </r>
  <r>
    <s v="Sammy Kimatu"/>
    <x v="2"/>
    <x v="304"/>
    <x v="0"/>
    <s v="Mary Nanjala Indimuli"/>
    <m/>
    <m/>
    <s v="Not Provided"/>
    <s v="Stranger"/>
    <s v="Non-intimate"/>
    <s v="Public Space"/>
    <x v="4"/>
    <s v="The rider made further advances and, when ignored, brandished a knife, "/>
    <s v="under investigation"/>
    <m/>
    <m/>
    <x v="1"/>
    <m/>
    <m/>
    <s v="Plainsview in South B"/>
    <x v="32"/>
    <x v="8"/>
  </r>
  <r>
    <s v="Kamore Maina"/>
    <x v="7"/>
    <x v="305"/>
    <x v="0"/>
    <s v="Margaret Muchemi "/>
    <n v="34"/>
    <m/>
    <s v="Not Provided"/>
    <s v="Ex-Boyfriend"/>
    <s v="Not Provided"/>
    <s v="home"/>
    <x v="5"/>
    <s v="Not Provided"/>
    <s v="Not Provided"/>
    <m/>
    <m/>
    <x v="1"/>
    <m/>
    <m/>
    <s v="Kayole Junction"/>
    <x v="32"/>
    <x v="8"/>
  </r>
  <r>
    <s v="Fidelis Kabunyi "/>
    <x v="7"/>
    <x v="306"/>
    <x v="0"/>
    <s v="Mary Wanja"/>
    <n v="47"/>
    <m/>
    <s v="Not Provided"/>
    <s v="Family Member"/>
    <s v="Not Provided"/>
    <s v="home"/>
    <x v="4"/>
    <s v="Not Provided"/>
    <s v="Not Provided"/>
    <m/>
    <m/>
    <x v="1"/>
    <m/>
    <m/>
    <s v="Mwiki"/>
    <x v="32"/>
    <x v="8"/>
  </r>
  <r>
    <s v="Not Provided"/>
    <x v="5"/>
    <x v="307"/>
    <x v="0"/>
    <s v="Not Provided"/>
    <m/>
    <m/>
    <s v="Not Provided"/>
    <s v="Boyfriend"/>
    <s v="Intimate"/>
    <s v="home"/>
    <x v="4"/>
    <s v="Argument"/>
    <s v="Not Provided"/>
    <m/>
    <m/>
    <x v="1"/>
    <m/>
    <m/>
    <s v="Parklands"/>
    <x v="32"/>
    <x v="8"/>
  </r>
  <r>
    <s v="Winfrey Owino"/>
    <x v="2"/>
    <x v="308"/>
    <x v="0"/>
    <s v="Esuron Phoebe"/>
    <m/>
    <m/>
    <s v="Not Provided"/>
    <s v="Boyfriend"/>
    <s v="Not Provided"/>
    <s v="home"/>
    <x v="4"/>
    <s v="Not Provided"/>
    <s v="Not Provided"/>
    <m/>
    <m/>
    <x v="1"/>
    <m/>
    <m/>
    <s v="Kasarani"/>
    <x v="32"/>
    <x v="8"/>
  </r>
  <r>
    <s v="Cyrus Ombati"/>
    <x v="0"/>
    <x v="146"/>
    <x v="0"/>
    <s v="Brenda Bosibori"/>
    <n v="17"/>
    <m/>
    <s v="Not Provided"/>
    <s v="Boyfriend"/>
    <s v="Intimate"/>
    <s v="home"/>
    <x v="6"/>
    <s v="love gone sour"/>
    <s v="under investigation"/>
    <m/>
    <m/>
    <x v="1"/>
    <m/>
    <m/>
    <s v="Karagita area"/>
    <x v="33"/>
    <x v="1"/>
  </r>
  <r>
    <s v="By _x000a_ Joseph Wangui"/>
    <x v="11"/>
    <x v="309"/>
    <x v="0"/>
    <s v="Susan Wanjiru Kihiu"/>
    <n v="22"/>
    <m/>
    <s v="Cecilia Waruguru"/>
    <s v="Friend"/>
    <s v="Non-intimate"/>
    <s v="home"/>
    <x v="4"/>
    <s v="jealousy"/>
    <s v="Not Provided"/>
    <m/>
    <d v="2021-03-20T00:00:00"/>
    <x v="0"/>
    <m/>
    <n v="2820"/>
    <s v="King'ori Estate Naivasha"/>
    <x v="33"/>
    <x v="1"/>
  </r>
  <r>
    <s v=" Magdalene Wanja"/>
    <x v="8"/>
    <x v="310"/>
    <x v="0"/>
    <s v="Maureen"/>
    <n v="20"/>
    <m/>
    <s v="Not Provided"/>
    <s v="Stranger"/>
    <s v="Non-intimate"/>
    <s v="Not Provided"/>
    <x v="3"/>
    <s v="Not Provided"/>
    <s v="under investigation"/>
    <m/>
    <m/>
    <x v="1"/>
    <m/>
    <m/>
    <s v="Freehold Estate"/>
    <x v="33"/>
    <x v="1"/>
  </r>
  <r>
    <s v="Mercy Kahenda"/>
    <x v="4"/>
    <x v="311"/>
    <x v="0"/>
    <s v="Rose Owuor"/>
    <m/>
    <m/>
    <s v="Not Provided"/>
    <s v="Ex-Boyfriend"/>
    <s v="Intimate"/>
    <s v="home"/>
    <x v="1"/>
    <s v="breakup"/>
    <s v="Not Provided"/>
    <m/>
    <m/>
    <x v="1"/>
    <m/>
    <m/>
    <s v="Ingobor village"/>
    <x v="33"/>
    <x v="1"/>
  </r>
  <r>
    <s v="Antony Gitonga"/>
    <x v="4"/>
    <x v="312"/>
    <x v="0"/>
    <s v="Not Provided"/>
    <n v="75"/>
    <m/>
    <s v="Not Provided"/>
    <s v="Stranger"/>
    <s v="Not Provided"/>
    <s v="Public Space"/>
    <x v="2"/>
    <s v="Not Provided"/>
    <s v="under investigation"/>
    <m/>
    <m/>
    <x v="1"/>
    <m/>
    <m/>
    <s v="Muniu village"/>
    <x v="33"/>
    <x v="1"/>
  </r>
  <r>
    <s v="Kennedy Gachuhi, Philip Mwakio And Mkamburi Mwawas"/>
    <x v="4"/>
    <x v="313"/>
    <x v="0"/>
    <s v="Jacinta Nyambura"/>
    <m/>
    <m/>
    <s v="Daniel Mwangi (Deceased)"/>
    <s v="Husband"/>
    <s v="Intimate"/>
    <s v="home"/>
    <x v="4"/>
    <s v="Argument"/>
    <s v="Not Provided"/>
    <m/>
    <m/>
    <x v="1"/>
    <m/>
    <m/>
    <s v="Tayari village"/>
    <x v="33"/>
    <x v="1"/>
  </r>
  <r>
    <s v="Simon Ngure"/>
    <x v="1"/>
    <x v="314"/>
    <x v="0"/>
    <s v="Susan Njeri Kinuthia"/>
    <n v="25"/>
    <m/>
    <s v="Stephen Kimani Mungai"/>
    <s v="Boyfriend"/>
    <s v="Intimate"/>
    <s v="home"/>
    <x v="7"/>
    <s v="Argument"/>
    <s v="under investigation"/>
    <m/>
    <m/>
    <x v="1"/>
    <m/>
    <m/>
    <s v="Kanu Street"/>
    <x v="33"/>
    <x v="1"/>
  </r>
  <r>
    <s v="Mercy Kahenda"/>
    <x v="4"/>
    <x v="315"/>
    <x v="0"/>
    <s v="Not Provided"/>
    <m/>
    <m/>
    <s v="Not Provided"/>
    <s v="Stranger"/>
    <s v="Not Provided"/>
    <s v="Public Space"/>
    <x v="2"/>
    <s v="Not Provided"/>
    <s v="under investigation"/>
    <m/>
    <m/>
    <x v="1"/>
    <m/>
    <m/>
    <s v="Ol-Rongai village"/>
    <x v="33"/>
    <x v="1"/>
  </r>
  <r>
    <s v="Nancy Agutu"/>
    <x v="0"/>
    <x v="316"/>
    <x v="0"/>
    <s v="Beatrice Mutura"/>
    <n v="31"/>
    <m/>
    <s v="Benjamin Lelmen"/>
    <s v="Boyfriend"/>
    <s v="Intimate"/>
    <s v="home"/>
    <x v="7"/>
    <s v="Argument"/>
    <s v="under investigation"/>
    <m/>
    <m/>
    <x v="1"/>
    <m/>
    <m/>
    <s v="Kongoni station"/>
    <x v="33"/>
    <x v="1"/>
  </r>
  <r>
    <s v="Mercy Kahenda"/>
    <x v="4"/>
    <x v="62"/>
    <x v="0"/>
    <s v="Cynthia Chelagat"/>
    <n v="22"/>
    <m/>
    <s v="Edmond Ruto"/>
    <s v="Ex-Boyfriend"/>
    <s v="Intimate"/>
    <s v="home"/>
    <x v="4"/>
    <s v="Not Provided"/>
    <s v="Not Provided"/>
    <d v="2018-02-21T00:00:00"/>
    <d v="2022-10-06T00:00:00"/>
    <x v="0"/>
    <n v="10"/>
    <n v="1690"/>
    <s v="Egerton University"/>
    <x v="33"/>
    <x v="1"/>
  </r>
  <r>
    <s v="Julius Chepkwony"/>
    <x v="7"/>
    <x v="317"/>
    <x v="0"/>
    <s v="Jane Njoki"/>
    <n v="26"/>
    <m/>
    <s v="Cosmas Kipchumba Biwott"/>
    <s v="Husband"/>
    <s v="Intimate"/>
    <s v="home"/>
    <x v="7"/>
    <s v="Argument"/>
    <s v="Ongoing Court Proceedings"/>
    <d v="2018-03-14T00:00:00"/>
    <m/>
    <x v="1"/>
    <m/>
    <m/>
    <s v="Suswa ASTU camp"/>
    <x v="33"/>
    <x v="1"/>
  </r>
  <r>
    <s v="George Murage"/>
    <x v="0"/>
    <x v="318"/>
    <x v="0"/>
    <s v="Elizabeth Wanjiru"/>
    <n v="36"/>
    <m/>
    <s v="Lawrence Gitau"/>
    <s v="Husband"/>
    <s v="Intimate"/>
    <s v="home"/>
    <x v="5"/>
    <s v="jealousy"/>
    <s v="under investigation"/>
    <m/>
    <m/>
    <x v="1"/>
    <m/>
    <m/>
    <s v="Longonot centre"/>
    <x v="33"/>
    <x v="1"/>
  </r>
  <r>
    <s v="Caroline Chebet"/>
    <x v="4"/>
    <x v="272"/>
    <x v="0"/>
    <s v="Not Provided"/>
    <m/>
    <d v="2018-05-14T00:00:00"/>
    <s v="Not Provided"/>
    <s v="Husband"/>
    <s v="Intimate"/>
    <s v="home"/>
    <x v="1"/>
    <s v="Argument"/>
    <s v="under investigation"/>
    <m/>
    <m/>
    <x v="1"/>
    <m/>
    <m/>
    <s v="Ng'ondu village"/>
    <x v="33"/>
    <x v="1"/>
  </r>
  <r>
    <s v="Evans Asiba"/>
    <x v="1"/>
    <x v="272"/>
    <x v="0"/>
    <s v="Not Provided"/>
    <m/>
    <d v="2018-05-14T00:00:00"/>
    <s v="Raphael Waweru"/>
    <s v="Husband"/>
    <s v="Intimate"/>
    <s v="home"/>
    <x v="4"/>
    <s v="Argument"/>
    <s v="under investigation"/>
    <m/>
    <m/>
    <x v="1"/>
    <m/>
    <m/>
    <s v="Rongai"/>
    <x v="33"/>
    <x v="1"/>
  </r>
  <r>
    <s v="Antony Gitonga"/>
    <x v="4"/>
    <x v="27"/>
    <x v="0"/>
    <s v="Not Provided"/>
    <n v="56"/>
    <m/>
    <s v="Not Provided"/>
    <s v="Boyfriend"/>
    <s v="Intimate"/>
    <s v="Public Space"/>
    <x v="4"/>
    <s v="Not Provided"/>
    <s v="under investigation"/>
    <m/>
    <m/>
    <x v="1"/>
    <m/>
    <m/>
    <s v="Mwiciringiri area"/>
    <x v="33"/>
    <x v="1"/>
  </r>
  <r>
    <s v="Mercy Koskey"/>
    <x v="5"/>
    <x v="319"/>
    <x v="0"/>
    <s v="Irene Jepchumba"/>
    <n v="27"/>
    <m/>
    <s v="Godfrey Kipkemboi Kangogo"/>
    <s v="Friend"/>
    <s v="Non-intimate"/>
    <s v="Public Space"/>
    <x v="6"/>
    <s v="Not Provided"/>
    <s v="Ongoing hearing"/>
    <d v="2018-07-30T00:00:00"/>
    <m/>
    <x v="1"/>
    <m/>
    <m/>
    <s v="Choka falls"/>
    <x v="33"/>
    <x v="1"/>
  </r>
  <r>
    <s v="Antony Gitonga"/>
    <x v="4"/>
    <x v="320"/>
    <x v="0"/>
    <s v="Trizza Wanjiru"/>
    <n v="22"/>
    <m/>
    <s v="Not Provided"/>
    <s v="Boyfriend"/>
    <s v="Intimate"/>
    <s v="Public Space"/>
    <x v="3"/>
    <s v="Argument"/>
    <s v="under investigation"/>
    <m/>
    <m/>
    <x v="1"/>
    <m/>
    <m/>
    <s v="Naivasha"/>
    <x v="33"/>
    <x v="1"/>
  </r>
  <r>
    <s v="Antony Gitonga"/>
    <x v="4"/>
    <x v="152"/>
    <x v="0"/>
    <s v="Amina Jere"/>
    <m/>
    <m/>
    <s v="Not Provided"/>
    <s v="Stranger"/>
    <s v="Not Provided"/>
    <s v="Public Space"/>
    <x v="2"/>
    <s v="Not Provided"/>
    <s v="under investigation"/>
    <m/>
    <m/>
    <x v="1"/>
    <m/>
    <m/>
    <s v="Gilgil"/>
    <x v="33"/>
    <x v="1"/>
  </r>
  <r>
    <s v="Mercy Kahenda"/>
    <x v="7"/>
    <x v="321"/>
    <x v="0"/>
    <s v="Sharon Mmbone"/>
    <m/>
    <m/>
    <s v="Hillary Nandasaba"/>
    <s v="Boyfriend"/>
    <s v="Intimate"/>
    <s v="home"/>
    <x v="4"/>
    <s v="Argument"/>
    <s v="both are dead"/>
    <m/>
    <m/>
    <x v="1"/>
    <m/>
    <m/>
    <s v="Njokerio village"/>
    <x v="33"/>
    <x v="1"/>
  </r>
  <r>
    <s v="Daniel Chege"/>
    <x v="4"/>
    <x v="322"/>
    <x v="0"/>
    <s v="Caren Chepkurui"/>
    <n v="26"/>
    <m/>
    <s v="Nelson Makori"/>
    <s v="Stranger"/>
    <s v="Not Provided"/>
    <s v="Public Space"/>
    <x v="1"/>
    <s v="Not Provided"/>
    <s v="under investigation"/>
    <m/>
    <m/>
    <x v="1"/>
    <m/>
    <m/>
    <s v="Tapare Village"/>
    <x v="33"/>
    <x v="1"/>
  </r>
  <r>
    <s v="People Daily"/>
    <x v="12"/>
    <x v="323"/>
    <x v="0"/>
    <s v="Eunice Wambui"/>
    <n v="22"/>
    <m/>
    <s v="Const. Cornelius Taalam"/>
    <s v="Husband"/>
    <s v="Intimate"/>
    <s v="home"/>
    <x v="7"/>
    <s v="Argument"/>
    <s v="under investigation"/>
    <m/>
    <m/>
    <x v="1"/>
    <m/>
    <m/>
    <s v="Njoro Piave"/>
    <x v="33"/>
    <x v="1"/>
  </r>
  <r>
    <s v="Kennedy Gachuhi"/>
    <x v="4"/>
    <x v="324"/>
    <x v="0"/>
    <s v="Wietar Kerubo"/>
    <n v="26"/>
    <m/>
    <s v="Robert Nyakundi"/>
    <s v="Husband"/>
    <s v="Intimate"/>
    <s v="home"/>
    <x v="4"/>
    <s v="Argument"/>
    <s v="under investigation"/>
    <m/>
    <m/>
    <x v="1"/>
    <m/>
    <m/>
    <s v="Mawe village"/>
    <x v="33"/>
    <x v="1"/>
  </r>
  <r>
    <s v="Not Provided"/>
    <x v="0"/>
    <x v="4"/>
    <x v="0"/>
    <s v="Damaris Mbugua"/>
    <n v="23"/>
    <m/>
    <s v="Not Provided"/>
    <s v="Husband"/>
    <s v="Not Provided"/>
    <s v="Not Provided"/>
    <x v="3"/>
    <s v="Not Provided"/>
    <s v="Not Provided"/>
    <m/>
    <m/>
    <x v="1"/>
    <m/>
    <m/>
    <s v="Nakuru County"/>
    <x v="33"/>
    <x v="1"/>
  </r>
  <r>
    <s v="Macharia Mwangi"/>
    <x v="5"/>
    <x v="325"/>
    <x v="0"/>
    <s v="Not Provided"/>
    <m/>
    <m/>
    <s v="Not Provided"/>
    <s v="Stranger"/>
    <s v="Not Provided"/>
    <s v="Public Space"/>
    <x v="1"/>
    <s v="Not Provided"/>
    <s v="under investigation"/>
    <m/>
    <m/>
    <x v="1"/>
    <m/>
    <m/>
    <s v="Naivasha"/>
    <x v="33"/>
    <x v="1"/>
  </r>
  <r>
    <s v="George Murage"/>
    <x v="0"/>
    <x v="326"/>
    <x v="0"/>
    <s v="Not Provided"/>
    <m/>
    <m/>
    <s v="Not Provided"/>
    <s v="Boyfriend"/>
    <s v="Intimate"/>
    <s v="home"/>
    <x v="2"/>
    <s v="Not Provided"/>
    <s v="under investigation"/>
    <m/>
    <m/>
    <x v="1"/>
    <m/>
    <m/>
    <s v="Naivasha"/>
    <x v="33"/>
    <x v="1"/>
  </r>
  <r>
    <s v="Not Provided"/>
    <x v="8"/>
    <x v="4"/>
    <x v="0"/>
    <s v="Mercy Chepkurui"/>
    <m/>
    <m/>
    <s v="Not Provided"/>
    <s v="Boyfriend"/>
    <s v="Not Provided"/>
    <s v="Not Provided"/>
    <x v="3"/>
    <s v="Not Provided"/>
    <s v="Not Provided"/>
    <m/>
    <m/>
    <x v="1"/>
    <m/>
    <m/>
    <s v="Nakuru County"/>
    <x v="33"/>
    <x v="1"/>
  </r>
  <r>
    <s v="Not Provided"/>
    <x v="5"/>
    <x v="4"/>
    <x v="0"/>
    <s v="Carol Chepchirchir"/>
    <n v="25"/>
    <m/>
    <s v="Not Provided"/>
    <s v="Boyfriend"/>
    <s v="Not Provided"/>
    <s v="Not Provided"/>
    <x v="3"/>
    <s v="Not Provided"/>
    <s v="Not Provided"/>
    <m/>
    <m/>
    <x v="1"/>
    <m/>
    <m/>
    <s v="Nakuru County"/>
    <x v="33"/>
    <x v="1"/>
  </r>
  <r>
    <s v="Not Provided"/>
    <x v="2"/>
    <x v="4"/>
    <x v="0"/>
    <s v="Veronica Wachuka"/>
    <n v="32"/>
    <d v="2019-05-18T00:00:00"/>
    <s v="Not Provided"/>
    <s v="Boyfriend"/>
    <s v="Not Provided"/>
    <s v="Not Provided"/>
    <x v="3"/>
    <s v="Not Provided"/>
    <s v="Not Provided"/>
    <m/>
    <m/>
    <x v="1"/>
    <m/>
    <m/>
    <s v="Nakuru County"/>
    <x v="33"/>
    <x v="1"/>
  </r>
  <r>
    <s v="Margaret W"/>
    <x v="5"/>
    <x v="327"/>
    <x v="0"/>
    <s v="Lucy Njeri"/>
    <m/>
    <m/>
    <s v="Ernest Kibet Kemei"/>
    <s v="Stranger"/>
    <s v="Not Provided"/>
    <s v="home"/>
    <x v="1"/>
    <s v="Not Provided"/>
    <s v="under investigation"/>
    <m/>
    <m/>
    <x v="1"/>
    <m/>
    <m/>
    <s v="Kirobon farm"/>
    <x v="33"/>
    <x v="1"/>
  </r>
  <r>
    <s v="Phyllis Musasia"/>
    <x v="5"/>
    <x v="328"/>
    <x v="0"/>
    <s v="Lucy Nyira"/>
    <m/>
    <m/>
    <s v="Bernard Kahira"/>
    <s v="Husband"/>
    <s v="Intimate"/>
    <s v="home"/>
    <x v="5"/>
    <s v="Argument"/>
    <s v="under investigation"/>
    <m/>
    <m/>
    <x v="1"/>
    <m/>
    <m/>
    <s v="Not Provided"/>
    <x v="33"/>
    <x v="1"/>
  </r>
  <r>
    <s v="George Murage"/>
    <x v="0"/>
    <x v="329"/>
    <x v="0"/>
    <s v="Not Provided"/>
    <m/>
    <m/>
    <s v="Not Provided"/>
    <s v="Husband"/>
    <s v="Intimate"/>
    <s v="home"/>
    <x v="1"/>
    <s v="jealousy"/>
    <s v="under investigation"/>
    <m/>
    <m/>
    <x v="1"/>
    <m/>
    <m/>
    <s v="Kambi Turkana village"/>
    <x v="33"/>
    <x v="1"/>
  </r>
  <r>
    <s v="Mercy Koskey"/>
    <x v="5"/>
    <x v="330"/>
    <x v="0"/>
    <s v="Eunice Wangui"/>
    <m/>
    <m/>
    <s v="Joseph Muchiri"/>
    <s v="Ex-Husband"/>
    <s v="Intimate"/>
    <s v="Public Space"/>
    <x v="6"/>
    <s v="Argument"/>
    <s v="both are dead"/>
    <m/>
    <m/>
    <x v="1"/>
    <m/>
    <m/>
    <s v="Muthiga farm"/>
    <x v="33"/>
    <x v="1"/>
  </r>
  <r>
    <s v="George Murage"/>
    <x v="0"/>
    <x v="331"/>
    <x v="0"/>
    <s v="Ann Nyambura"/>
    <m/>
    <m/>
    <s v="Not Provided"/>
    <s v="Boyfriend"/>
    <s v="Intimate"/>
    <s v="Public Space"/>
    <x v="1"/>
    <s v="Not Provided"/>
    <s v="under investigation"/>
    <m/>
    <m/>
    <x v="1"/>
    <m/>
    <m/>
    <s v="Gilgil"/>
    <x v="33"/>
    <x v="1"/>
  </r>
  <r>
    <s v="George Mugo"/>
    <x v="0"/>
    <x v="332"/>
    <x v="0"/>
    <s v="Lucy Waithira"/>
    <n v="35"/>
    <m/>
    <s v="John Ngige"/>
    <s v="Husband"/>
    <s v="Intimate"/>
    <s v="Public Space"/>
    <x v="1"/>
    <s v="Argument"/>
    <s v="under investigation"/>
    <m/>
    <m/>
    <x v="1"/>
    <m/>
    <m/>
    <s v="Molo"/>
    <x v="33"/>
    <x v="1"/>
  </r>
  <r>
    <s v="Not Provided"/>
    <x v="5"/>
    <x v="333"/>
    <x v="0"/>
    <s v="Leah Nasuhu Terewa"/>
    <m/>
    <m/>
    <s v="Kennedy Otieno Oloo"/>
    <s v="Husband"/>
    <s v="Intimate"/>
    <s v="home"/>
    <x v="6"/>
    <s v="Argument"/>
    <s v="Ongoing hearing"/>
    <d v="2020-06-23T00:00:00"/>
    <m/>
    <x v="1"/>
    <m/>
    <m/>
    <s v="Kiamunyeki"/>
    <x v="33"/>
    <x v="1"/>
  </r>
  <r>
    <s v="Maryanne Nyambura"/>
    <x v="1"/>
    <x v="4"/>
    <x v="0"/>
    <s v="Leah Oloo"/>
    <n v="26"/>
    <m/>
    <s v=" Kennedy Oloo"/>
    <s v="Husband"/>
    <s v="Intimate"/>
    <s v="home"/>
    <x v="6"/>
    <s v="threatening to walk away and quit the marriage"/>
    <s v="Not Provided"/>
    <m/>
    <m/>
    <x v="1"/>
    <m/>
    <m/>
    <s v="Lanet"/>
    <x v="33"/>
    <x v="1"/>
  </r>
  <r>
    <s v="George Murage"/>
    <x v="0"/>
    <x v="334"/>
    <x v="0"/>
    <s v="Not Provided"/>
    <m/>
    <m/>
    <s v="Not Provided"/>
    <s v="Stranger"/>
    <s v="Non-intimate"/>
    <s v="Public Space"/>
    <x v="2"/>
    <s v="Not Provided"/>
    <s v="under investigation"/>
    <m/>
    <m/>
    <x v="1"/>
    <m/>
    <m/>
    <s v="Prison Bridge"/>
    <x v="33"/>
    <x v="1"/>
  </r>
  <r>
    <s v="Not Provided"/>
    <x v="5"/>
    <x v="335"/>
    <x v="0"/>
    <s v="Not Provided"/>
    <m/>
    <m/>
    <s v="Not Provided"/>
    <s v="Husband"/>
    <s v="Intimate"/>
    <s v="home"/>
    <x v="4"/>
    <s v="Argument"/>
    <s v="under investigation"/>
    <m/>
    <m/>
    <x v="1"/>
    <m/>
    <m/>
    <s v="Gilgil"/>
    <x v="33"/>
    <x v="1"/>
  </r>
  <r>
    <s v=" Elijah Cherutich"/>
    <x v="14"/>
    <x v="336"/>
    <x v="0"/>
    <s v="Beatrice Wangari Karanja "/>
    <n v="25"/>
    <m/>
    <s v="Zacharia Njuguna Chege"/>
    <s v="Boyfriend"/>
    <s v="Intimate"/>
    <s v="home"/>
    <x v="6"/>
    <s v="Not Provided"/>
    <s v="Murder-suicide"/>
    <m/>
    <m/>
    <x v="1"/>
    <m/>
    <m/>
    <s v="Naishi Village"/>
    <x v="33"/>
    <x v="1"/>
  </r>
  <r>
    <s v="George Murage"/>
    <x v="0"/>
    <x v="337"/>
    <x v="0"/>
    <s v="Not Provided"/>
    <n v="18"/>
    <m/>
    <s v="Not Provided"/>
    <s v="Boyfriend"/>
    <s v="Intimate"/>
    <s v="home"/>
    <x v="4"/>
    <s v="Not Provided"/>
    <s v="under investigation"/>
    <m/>
    <m/>
    <x v="1"/>
    <m/>
    <m/>
    <s v="Naivasha"/>
    <x v="33"/>
    <x v="1"/>
  </r>
  <r>
    <s v="Patrick Vidija"/>
    <x v="0"/>
    <x v="338"/>
    <x v="0"/>
    <s v="Mercy Njeri Mbatia"/>
    <n v="23"/>
    <m/>
    <s v="John Mwangi Githaiga"/>
    <s v="Husband"/>
    <s v="Intimate"/>
    <s v="home"/>
    <x v="4"/>
    <s v="Argument"/>
    <s v="under investigation"/>
    <m/>
    <m/>
    <x v="1"/>
    <m/>
    <m/>
    <s v="Mathanguata area"/>
    <x v="33"/>
    <x v="1"/>
  </r>
  <r>
    <s v="Daniel Chege"/>
    <x v="4"/>
    <x v="339"/>
    <x v="0"/>
    <s v="Diana Githomi"/>
    <m/>
    <m/>
    <s v="Eric Maingi"/>
    <s v="Friend"/>
    <s v="Non-intimate"/>
    <s v="home"/>
    <x v="6"/>
    <s v="Denied sex"/>
    <s v="Ongoing hearing"/>
    <d v="2020-05-20T00:00:00"/>
    <m/>
    <x v="1"/>
    <m/>
    <m/>
    <s v="Egerton University"/>
    <x v="33"/>
    <x v="1"/>
  </r>
  <r>
    <s v="George Murage"/>
    <x v="0"/>
    <x v="340"/>
    <x v="0"/>
    <s v="Sarah Nafula"/>
    <n v="37"/>
    <m/>
    <s v="Not Provided"/>
    <s v="Boyfriend"/>
    <s v="Intimate"/>
    <s v="home"/>
    <x v="1"/>
    <s v="jealousy"/>
    <s v="under investigation"/>
    <m/>
    <m/>
    <x v="1"/>
    <m/>
    <m/>
    <s v="Naivasha"/>
    <x v="33"/>
    <x v="1"/>
  </r>
  <r>
    <s v="Loise Macharia"/>
    <x v="0"/>
    <x v="341"/>
    <x v="0"/>
    <s v="Not Provided"/>
    <n v="22"/>
    <m/>
    <s v="Joseph Kipkurui"/>
    <s v="Boyfriend"/>
    <s v="Intimate"/>
    <s v="home"/>
    <x v="4"/>
    <s v="Argument"/>
    <s v="Ongoing hearing"/>
    <d v="2021-01-04T00:00:00"/>
    <m/>
    <x v="1"/>
    <m/>
    <m/>
    <s v="Huruma east"/>
    <x v="33"/>
    <x v="1"/>
  </r>
  <r>
    <s v="By _x000a_ John Njoroge"/>
    <x v="11"/>
    <x v="342"/>
    <x v="0"/>
    <s v="Margaret Wanjiru"/>
    <n v="60"/>
    <m/>
    <s v="Not Provided"/>
    <s v="Family Member"/>
    <s v="Not Provided"/>
    <s v="home"/>
    <x v="4"/>
    <s v="divorce"/>
    <s v="under investigation"/>
    <m/>
    <m/>
    <x v="1"/>
    <m/>
    <m/>
    <s v="Chogocho village"/>
    <x v="33"/>
    <x v="1"/>
  </r>
  <r>
    <s v="George Murage"/>
    <x v="0"/>
    <x v="343"/>
    <x v="0"/>
    <s v="Beth Mwihaki"/>
    <n v="30"/>
    <m/>
    <s v="Charles Mwaura"/>
    <s v="Boyfriend"/>
    <s v="Intimate"/>
    <s v="home"/>
    <x v="6"/>
    <s v="jealousy"/>
    <s v="under investigation"/>
    <m/>
    <m/>
    <x v="1"/>
    <m/>
    <m/>
    <s v="Kayole estate Naivasha"/>
    <x v="33"/>
    <x v="1"/>
  </r>
  <r>
    <s v="George Murage"/>
    <x v="0"/>
    <x v="344"/>
    <x v="0"/>
    <s v="Not Provided"/>
    <n v="18"/>
    <m/>
    <s v="Not Provided"/>
    <s v="Boyfriend"/>
    <s v="Intimate"/>
    <s v="home"/>
    <x v="1"/>
    <s v="Not Provided"/>
    <s v="under investigation"/>
    <m/>
    <m/>
    <x v="1"/>
    <m/>
    <m/>
    <s v="Kosovo village Naivasha"/>
    <x v="33"/>
    <x v="1"/>
  </r>
  <r>
    <s v="Antony Gitonga"/>
    <x v="4"/>
    <x v="23"/>
    <x v="0"/>
    <s v="Ann Njeri"/>
    <n v="32"/>
    <d v="2021-05-06T00:00:00"/>
    <s v="Not Provided"/>
    <s v="Boyfriend"/>
    <s v="Intimate"/>
    <s v="Public Space"/>
    <x v="2"/>
    <s v="Not Provided"/>
    <s v="under investigation"/>
    <m/>
    <m/>
    <x v="1"/>
    <m/>
    <m/>
    <s v="Naivasha"/>
    <x v="33"/>
    <x v="1"/>
  </r>
  <r>
    <s v="George Murage "/>
    <x v="0"/>
    <x v="345"/>
    <x v="0"/>
    <s v="Jane Wangari"/>
    <m/>
    <d v="2021-05-31T00:00:00"/>
    <s v="Not Provided"/>
    <s v="Husband"/>
    <s v="Intimate"/>
    <s v="home"/>
    <x v="4"/>
    <s v="breakup"/>
    <s v="under investigation"/>
    <m/>
    <m/>
    <x v="1"/>
    <m/>
    <m/>
    <s v="Maella Naivasha"/>
    <x v="33"/>
    <x v="1"/>
  </r>
  <r>
    <s v="Kiprotich Kimetto"/>
    <x v="1"/>
    <x v="346"/>
    <x v="0"/>
    <s v="Not Provided"/>
    <m/>
    <m/>
    <s v="Not Provided"/>
    <s v="Husband"/>
    <s v="Intimate"/>
    <s v="home"/>
    <x v="4"/>
    <s v="jealousy"/>
    <s v="under investigation"/>
    <m/>
    <m/>
    <x v="1"/>
    <m/>
    <m/>
    <s v="kuresoi"/>
    <x v="33"/>
    <x v="1"/>
  </r>
  <r>
    <s v="Cyrus Ombati"/>
    <x v="0"/>
    <x v="347"/>
    <x v="0"/>
    <s v="Mary Nyambura"/>
    <n v="29"/>
    <m/>
    <s v="Const. Bernard Sivo"/>
    <s v="Boyfriend"/>
    <s v="Intimate"/>
    <s v="Public Space"/>
    <x v="7"/>
    <s v="Not Provided"/>
    <s v="both are dead"/>
    <m/>
    <m/>
    <x v="1"/>
    <m/>
    <m/>
    <s v="Njoro subcounty hospital"/>
    <x v="33"/>
    <x v="1"/>
  </r>
  <r>
    <s v="Loise Macharia"/>
    <x v="0"/>
    <x v="348"/>
    <x v="0"/>
    <s v="Martha Waithera"/>
    <n v="33"/>
    <m/>
    <s v="Moses Leparani"/>
    <s v="Boyfriend"/>
    <s v="Intimate"/>
    <s v="home"/>
    <x v="2"/>
    <s v="Argument"/>
    <s v="under investigation"/>
    <m/>
    <m/>
    <x v="1"/>
    <m/>
    <m/>
    <s v="Lake view"/>
    <x v="33"/>
    <x v="1"/>
  </r>
  <r>
    <s v="Daniel Chege"/>
    <x v="4"/>
    <x v="349"/>
    <x v="0"/>
    <s v="Njeri Kamande"/>
    <m/>
    <m/>
    <s v="Paul Otieno"/>
    <s v="Husband"/>
    <s v="Intimate"/>
    <s v="home"/>
    <x v="4"/>
    <s v="Argument"/>
    <s v="Ongoing hearing"/>
    <d v="2021-11-03T00:00:00"/>
    <m/>
    <x v="1"/>
    <m/>
    <m/>
    <s v="Stadium flats"/>
    <x v="33"/>
    <x v="1"/>
  </r>
  <r>
    <s v="Kennedy Gachuhi"/>
    <x v="4"/>
    <x v="350"/>
    <x v="0"/>
    <s v="Mary Njeri Kamande"/>
    <n v="20"/>
    <m/>
    <s v="Paul Ochieng"/>
    <s v="Husband"/>
    <s v="Intimate"/>
    <s v="home"/>
    <x v="4"/>
    <s v="Argument"/>
    <s v="under investigation"/>
    <m/>
    <m/>
    <x v="1"/>
    <m/>
    <m/>
    <s v="Afraha"/>
    <x v="33"/>
    <x v="1"/>
  </r>
  <r>
    <s v="Antony Gitonga"/>
    <x v="4"/>
    <x v="351"/>
    <x v="0"/>
    <s v="Not Provided"/>
    <m/>
    <m/>
    <s v="Not Provided"/>
    <s v="Boyfriend"/>
    <s v="Intimate"/>
    <s v="home"/>
    <x v="4"/>
    <s v="jealousy"/>
    <s v="under investigation"/>
    <m/>
    <m/>
    <x v="1"/>
    <m/>
    <m/>
    <s v="Kasarani estate Naivasha"/>
    <x v="33"/>
    <x v="1"/>
  </r>
  <r>
    <s v="Cyrus Ombati"/>
    <x v="0"/>
    <x v="352"/>
    <x v="0"/>
    <s v="Not Provided"/>
    <m/>
    <m/>
    <s v="Mark Njoroge"/>
    <s v="Boyfriend"/>
    <s v="Intimate"/>
    <s v="home"/>
    <x v="1"/>
    <s v="Not Provided"/>
    <s v="under investigation"/>
    <m/>
    <m/>
    <x v="1"/>
    <m/>
    <m/>
    <s v="Muthaiga village"/>
    <x v="33"/>
    <x v="1"/>
  </r>
  <r>
    <s v="Kennedy Gachuhi"/>
    <x v="4"/>
    <x v="353"/>
    <x v="0"/>
    <s v="Alice Njeri"/>
    <n v="32"/>
    <m/>
    <s v="Not Provided"/>
    <s v="Husband"/>
    <s v="Intimate"/>
    <s v="home"/>
    <x v="5"/>
    <s v="Argument"/>
    <s v="under investigation"/>
    <m/>
    <m/>
    <x v="1"/>
    <m/>
    <m/>
    <s v="Molo"/>
    <x v="33"/>
    <x v="1"/>
  </r>
  <r>
    <s v="Perpetua Etyang"/>
    <x v="0"/>
    <x v="354"/>
    <x v="0"/>
    <s v="Veronicah Wanjiru"/>
    <m/>
    <m/>
    <s v="Not Provided"/>
    <s v="Husband"/>
    <s v="Intimate"/>
    <s v="Public Space"/>
    <x v="4"/>
    <s v="breakup"/>
    <s v="under investigation"/>
    <m/>
    <m/>
    <x v="1"/>
    <m/>
    <m/>
    <s v="Mai Mahiu"/>
    <x v="33"/>
    <x v="1"/>
  </r>
  <r>
    <s v="Loise Macharia"/>
    <x v="0"/>
    <x v="355"/>
    <x v="0"/>
    <s v="Not Provided"/>
    <n v="30"/>
    <m/>
    <s v="Not Provided"/>
    <s v="Husband"/>
    <s v="Intimate"/>
    <s v="home"/>
    <x v="2"/>
    <s v="Argument"/>
    <s v="under investigation"/>
    <m/>
    <m/>
    <x v="1"/>
    <m/>
    <m/>
    <s v="Kiambogo farm"/>
    <x v="33"/>
    <x v="1"/>
  </r>
  <r>
    <s v=" Mercy Koskei"/>
    <x v="5"/>
    <x v="356"/>
    <x v="0"/>
    <s v="Winnie Chepkurui"/>
    <n v="41"/>
    <d v="2023-03-07T00:00:00"/>
    <s v="Amos Njuguna"/>
    <s v="Husband"/>
    <s v="Intimate"/>
    <s v="home"/>
    <x v="4"/>
    <s v="Not Provided"/>
    <s v="under investigation"/>
    <m/>
    <m/>
    <x v="1"/>
    <m/>
    <m/>
    <s v="Zakayos estate"/>
    <x v="33"/>
    <x v="1"/>
  </r>
  <r>
    <s v="Daniel Chege"/>
    <x v="10"/>
    <x v="357"/>
    <x v="0"/>
    <s v="Jasmine Njoki"/>
    <n v="11"/>
    <m/>
    <s v="unknown assailant"/>
    <s v="Stranger"/>
    <s v="Non-intimate"/>
    <s v="Public Space"/>
    <x v="3"/>
    <s v="Not Provided"/>
    <s v="under investigation"/>
    <m/>
    <m/>
    <x v="1"/>
    <m/>
    <m/>
    <s v="Kasambara Village"/>
    <x v="33"/>
    <x v="1"/>
  </r>
  <r>
    <s v="Vincent Kejitan"/>
    <x v="7"/>
    <x v="358"/>
    <x v="0"/>
    <s v="Not Provided"/>
    <n v="43"/>
    <m/>
    <s v="Wilson Koech"/>
    <s v="Husband"/>
    <s v="Not Provided"/>
    <s v="home"/>
    <x v="0"/>
    <s v="Not Provided"/>
    <s v="Not Provided"/>
    <m/>
    <m/>
    <x v="1"/>
    <m/>
    <m/>
    <s v="Kaptimom Village"/>
    <x v="33"/>
    <x v="1"/>
  </r>
  <r>
    <s v="Rael Jelimo"/>
    <x v="4"/>
    <x v="359"/>
    <x v="0"/>
    <s v="Nancy Cherono"/>
    <n v="30"/>
    <m/>
    <s v="Wilfred Sang"/>
    <s v="Husband"/>
    <s v="Intimate"/>
    <s v="home"/>
    <x v="1"/>
    <s v="Argument"/>
    <s v="Not Provided"/>
    <m/>
    <m/>
    <x v="1"/>
    <m/>
    <m/>
    <s v="Kiptaragor area"/>
    <x v="14"/>
    <x v="1"/>
  </r>
  <r>
    <s v="Mathews Ndanyi"/>
    <x v="0"/>
    <x v="360"/>
    <x v="0"/>
    <s v="Edna Kurgat"/>
    <m/>
    <m/>
    <s v="Not Provided"/>
    <s v="Husband"/>
    <s v="Intimate"/>
    <s v="home"/>
    <x v="1"/>
    <s v="Argument"/>
    <s v="under investigation"/>
    <m/>
    <m/>
    <x v="1"/>
    <m/>
    <m/>
    <s v="Kapkatete village"/>
    <x v="14"/>
    <x v="1"/>
  </r>
  <r>
    <s v="Barry Salil"/>
    <x v="0"/>
    <x v="361"/>
    <x v="0"/>
    <s v="Not Provided"/>
    <n v="21"/>
    <m/>
    <s v="Not Provided"/>
    <s v="Stranger"/>
    <s v="Not Provided"/>
    <s v="school"/>
    <x v="4"/>
    <s v="Denied sex"/>
    <s v="under investigation"/>
    <m/>
    <m/>
    <x v="1"/>
    <m/>
    <m/>
    <s v="Kaiboi Technical institute"/>
    <x v="14"/>
    <x v="1"/>
  </r>
  <r>
    <s v="Not Provided"/>
    <x v="3"/>
    <x v="4"/>
    <x v="0"/>
    <s v="Faith Chepkurui"/>
    <m/>
    <m/>
    <s v="Not Provided"/>
    <s v="Boyfriend"/>
    <s v="Not Provided"/>
    <s v="Not Provided"/>
    <x v="3"/>
    <s v="Not Provided"/>
    <s v="Not Provided"/>
    <m/>
    <m/>
    <x v="1"/>
    <m/>
    <m/>
    <s v="Nandi County"/>
    <x v="14"/>
    <x v="1"/>
  </r>
  <r>
    <s v="Edward Kosut"/>
    <x v="7"/>
    <x v="29"/>
    <x v="0"/>
    <s v="Florence Jepkoech"/>
    <n v="35"/>
    <m/>
    <s v="Aron Kiplagat"/>
    <s v="Boyfriend"/>
    <s v="Not Provided"/>
    <s v="home"/>
    <x v="4"/>
    <s v="Not Provided"/>
    <s v="Not Provided"/>
    <m/>
    <m/>
    <x v="1"/>
    <m/>
    <m/>
    <s v="Kosoywa estate"/>
    <x v="14"/>
    <x v="1"/>
  </r>
  <r>
    <s v="Barry Salil"/>
    <x v="0"/>
    <x v="362"/>
    <x v="0"/>
    <s v="Not Provided"/>
    <n v="30"/>
    <d v="2022-05-23T00:00:00"/>
    <s v="Naftali Avendi"/>
    <s v="Boyfriend"/>
    <s v="Intimate"/>
    <s v="home"/>
    <x v="3"/>
    <s v="Not Provided"/>
    <s v="under investigation"/>
    <m/>
    <m/>
    <x v="1"/>
    <m/>
    <m/>
    <s v="Kamoron Village"/>
    <x v="14"/>
    <x v="1"/>
  </r>
  <r>
    <s v="Winstone Chiseremi"/>
    <x v="24"/>
    <x v="363"/>
    <x v="0"/>
    <s v="Caroline Jerotich"/>
    <n v="36"/>
    <m/>
    <s v="Benjamin Serem"/>
    <s v="Husband"/>
    <s v="Intimate"/>
    <s v="Public Space"/>
    <x v="2"/>
    <s v="upset by his wifeâ€™s action to ditch him over constant threats to her life."/>
    <s v="under investigation"/>
    <m/>
    <m/>
    <x v="1"/>
    <m/>
    <m/>
    <s v="Sang'alo"/>
    <x v="14"/>
    <x v="1"/>
  </r>
  <r>
    <s v="Not Provided"/>
    <x v="2"/>
    <x v="364"/>
    <x v="0"/>
    <s v="Rispa Jelimo"/>
    <n v="38"/>
    <m/>
    <s v="Philip Lokoruen"/>
    <s v="Husband"/>
    <s v="Not Provided"/>
    <s v="home"/>
    <x v="6"/>
    <s v="Not Provided"/>
    <s v="Not Provided"/>
    <m/>
    <m/>
    <x v="1"/>
    <m/>
    <m/>
    <s v="Ndalat Market"/>
    <x v="14"/>
    <x v="1"/>
  </r>
  <r>
    <s v="Mwangi Ndirangu"/>
    <x v="5"/>
    <x v="365"/>
    <x v="0"/>
    <s v=" Christine Chelegat"/>
    <n v="13"/>
    <m/>
    <s v="Not Provided"/>
    <s v="Stranger"/>
    <s v="Non-intimate"/>
    <s v="Other"/>
    <x v="5"/>
    <s v="Not Provided"/>
    <s v="under investigation"/>
    <m/>
    <m/>
    <x v="1"/>
    <m/>
    <m/>
    <s v="Kabiru village"/>
    <x v="34"/>
    <x v="0"/>
  </r>
  <r>
    <s v="Gitonga Marete"/>
    <x v="5"/>
    <x v="366"/>
    <x v="0"/>
    <s v="Adah Nyambura"/>
    <n v="20"/>
    <m/>
    <s v="Not Provided"/>
    <s v="Stranger"/>
    <s v="Not Provided"/>
    <s v="Other"/>
    <x v="8"/>
    <s v="Not Provided"/>
    <s v="under investigation"/>
    <m/>
    <m/>
    <x v="1"/>
    <m/>
    <m/>
    <s v="Bush near Maasai Mara University"/>
    <x v="35"/>
    <x v="1"/>
  </r>
  <r>
    <s v="Stanley Ogwae"/>
    <x v="4"/>
    <x v="367"/>
    <x v="0"/>
    <s v="Not Provided"/>
    <m/>
    <m/>
    <s v="Samuel Otieno"/>
    <s v="Husband"/>
    <s v="Intimate"/>
    <s v="home"/>
    <x v="1"/>
    <s v="Argument"/>
    <s v="Ongoing hearing"/>
    <d v="2018-10-03T00:00:00"/>
    <m/>
    <x v="1"/>
    <m/>
    <m/>
    <s v="Bonyaiguba"/>
    <x v="36"/>
    <x v="5"/>
  </r>
  <r>
    <s v="Alvine Ratemo"/>
    <x v="0"/>
    <x v="17"/>
    <x v="0"/>
    <s v="Nancy Nyarangi"/>
    <n v="25"/>
    <m/>
    <s v="Not Provided"/>
    <s v="Husband"/>
    <s v="Intimate"/>
    <s v="home"/>
    <x v="3"/>
    <s v="Argument"/>
    <s v="under investigation"/>
    <m/>
    <m/>
    <x v="1"/>
    <m/>
    <m/>
    <s v="Bomabacho village"/>
    <x v="36"/>
    <x v="5"/>
  </r>
  <r>
    <s v="James Ongwae"/>
    <x v="7"/>
    <x v="368"/>
    <x v="0"/>
    <s v="Agnes Kwamboka Nyagwachi"/>
    <n v="60"/>
    <m/>
    <s v="Not Provided"/>
    <s v="Stranger"/>
    <s v="Non-intimate"/>
    <s v="Public Space"/>
    <x v="2"/>
    <s v="Not Provided"/>
    <s v="Not Provided"/>
    <m/>
    <m/>
    <x v="1"/>
    <m/>
    <m/>
    <s v="Bundo in Bogichora"/>
    <x v="36"/>
    <x v="5"/>
  </r>
  <r>
    <s v="Ndichu Wainaina"/>
    <x v="0"/>
    <x v="369"/>
    <x v="0"/>
    <s v="Mary Wangui "/>
    <n v="23"/>
    <m/>
    <s v="Samuel Gicheha"/>
    <s v="Husband"/>
    <s v="Intimate"/>
    <s v="Public Space"/>
    <x v="2"/>
    <s v="jealousy"/>
    <s v="under investigation"/>
    <d v="2017-11-20T00:00:00"/>
    <m/>
    <x v="1"/>
    <m/>
    <m/>
    <s v="Ol Kalou- Gilgil road"/>
    <x v="37"/>
    <x v="6"/>
  </r>
  <r>
    <s v="Ndichu Wainaina"/>
    <x v="0"/>
    <x v="370"/>
    <x v="0"/>
    <s v="Not Provided"/>
    <n v="18"/>
    <m/>
    <s v="Not Provided"/>
    <s v="Stranger"/>
    <s v="Non-intimate"/>
    <s v="Other"/>
    <x v="4"/>
    <s v="Not Provided"/>
    <s v="under investigation"/>
    <m/>
    <m/>
    <x v="1"/>
    <m/>
    <m/>
    <s v="Kipipiri forest"/>
    <x v="37"/>
    <x v="6"/>
  </r>
  <r>
    <s v="Waikwa Maina"/>
    <x v="5"/>
    <x v="371"/>
    <x v="0"/>
    <s v="Lucy Wanjiku"/>
    <n v="16"/>
    <m/>
    <s v="Not Provided"/>
    <s v="Stranger"/>
    <s v="Not Provided"/>
    <s v="home"/>
    <x v="4"/>
    <s v="Others"/>
    <s v="under investigation"/>
    <m/>
    <m/>
    <x v="1"/>
    <m/>
    <m/>
    <s v="Matura village"/>
    <x v="37"/>
    <x v="6"/>
  </r>
  <r>
    <s v="Steve Njuguna"/>
    <x v="5"/>
    <x v="372"/>
    <x v="0"/>
    <s v="Not Provided"/>
    <n v="70"/>
    <m/>
    <s v="Not Provided"/>
    <s v="Stranger"/>
    <s v="Not Provided"/>
    <s v="home"/>
    <x v="6"/>
    <s v="Not Provided"/>
    <s v="under investigation"/>
    <m/>
    <m/>
    <x v="1"/>
    <m/>
    <m/>
    <s v="Maina Slums"/>
    <x v="37"/>
    <x v="6"/>
  </r>
  <r>
    <s v="Ndichu Wainaina"/>
    <x v="0"/>
    <x v="373"/>
    <x v="0"/>
    <s v="Teresiah Wanjiru"/>
    <m/>
    <m/>
    <s v="Peter Ng'ang'a"/>
    <s v="Husband"/>
    <s v="Intimate"/>
    <s v="home"/>
    <x v="1"/>
    <s v="Argument"/>
    <s v="both are dead"/>
    <m/>
    <m/>
    <x v="1"/>
    <m/>
    <m/>
    <s v="Lereshwa village"/>
    <x v="37"/>
    <x v="6"/>
  </r>
  <r>
    <s v="Waikwa Maina"/>
    <x v="5"/>
    <x v="374"/>
    <x v="0"/>
    <s v="Elizabeth Wanjiku"/>
    <m/>
    <m/>
    <s v="Not Provided"/>
    <s v="Stranger"/>
    <s v="Not Provided"/>
    <s v="home"/>
    <x v="4"/>
    <s v="jealousy"/>
    <s v="under investigation"/>
    <m/>
    <m/>
    <x v="1"/>
    <m/>
    <m/>
    <s v="Rurii village"/>
    <x v="37"/>
    <x v="6"/>
  </r>
  <r>
    <s v="Ndichu Wainaina"/>
    <x v="0"/>
    <x v="185"/>
    <x v="0"/>
    <s v="Consolata Wambui"/>
    <n v="21"/>
    <m/>
    <s v="Allan Tiui"/>
    <s v="Ex-Boyfriend"/>
    <s v="Intimate"/>
    <s v="home"/>
    <x v="4"/>
    <s v="breakup"/>
    <s v="under investigation"/>
    <m/>
    <m/>
    <x v="1"/>
    <m/>
    <m/>
    <s v="Kambi Ndoro"/>
    <x v="37"/>
    <x v="6"/>
  </r>
  <r>
    <s v="Ndichu Wainaina"/>
    <x v="0"/>
    <x v="36"/>
    <x v="0"/>
    <s v="Margaret Wairimu"/>
    <n v="30"/>
    <m/>
    <s v="Not Provided"/>
    <s v="Boyfriend"/>
    <s v="Intimate"/>
    <s v="home"/>
    <x v="4"/>
    <s v="Argument"/>
    <s v="under investigation"/>
    <m/>
    <m/>
    <x v="1"/>
    <m/>
    <m/>
    <s v="Karagoini village"/>
    <x v="37"/>
    <x v="6"/>
  </r>
  <r>
    <s v="Not Provided"/>
    <x v="5"/>
    <x v="110"/>
    <x v="0"/>
    <s v="Jane Waitherero"/>
    <n v="50"/>
    <m/>
    <s v="Moses Njogu"/>
    <s v="Husband"/>
    <s v="Intimate"/>
    <s v="home"/>
    <x v="2"/>
    <s v="Argument"/>
    <s v="under investigation"/>
    <m/>
    <m/>
    <x v="1"/>
    <m/>
    <m/>
    <s v="Kiharo village"/>
    <x v="37"/>
    <x v="6"/>
  </r>
  <r>
    <s v="Nicholas Komu"/>
    <x v="8"/>
    <x v="375"/>
    <x v="0"/>
    <s v="yvonne Mwendwa"/>
    <n v="21"/>
    <m/>
    <s v="Dennis Kirimi"/>
    <s v="Boyfriend"/>
    <s v="Intimate"/>
    <s v="Public Space"/>
    <x v="3"/>
    <s v="Not Provided"/>
    <s v="under investigation"/>
    <m/>
    <m/>
    <x v="1"/>
    <m/>
    <m/>
    <s v="Mt. Kenya"/>
    <x v="38"/>
    <x v="6"/>
  </r>
  <r>
    <s v="Nicholas Komu"/>
    <x v="8"/>
    <x v="312"/>
    <x v="0"/>
    <s v="Catherin Wambui"/>
    <n v="33"/>
    <m/>
    <s v="Not Provided"/>
    <s v="Boyfriend"/>
    <s v="Intimate"/>
    <s v="Public Space"/>
    <x v="2"/>
    <s v="jealousy"/>
    <s v="under investigation"/>
    <m/>
    <m/>
    <x v="1"/>
    <m/>
    <m/>
    <s v="Karatina town"/>
    <x v="38"/>
    <x v="6"/>
  </r>
  <r>
    <s v="Pkemoi Ng'Eno"/>
    <x v="7"/>
    <x v="376"/>
    <x v="0"/>
    <s v="Not Provided"/>
    <m/>
    <m/>
    <s v="Alex Karue Wahome"/>
    <s v="Husband"/>
    <s v="Intimate"/>
    <s v="home"/>
    <x v="4"/>
    <s v="Argument"/>
    <s v="Ongoing hearing"/>
    <m/>
    <d v="2017-08-03T00:00:00"/>
    <x v="0"/>
    <m/>
    <m/>
    <s v="Kiambira Trading Center"/>
    <x v="38"/>
    <x v="6"/>
  </r>
  <r>
    <s v="Nicholas Komu"/>
    <x v="5"/>
    <x v="377"/>
    <x v="0"/>
    <s v="Esther wanjiku"/>
    <n v="21"/>
    <m/>
    <s v="David Maina (deceased)"/>
    <s v="Husband"/>
    <s v="Intimate"/>
    <s v="home"/>
    <x v="5"/>
    <s v="Argument"/>
    <s v="under investigation"/>
    <m/>
    <m/>
    <x v="1"/>
    <m/>
    <m/>
    <s v="Kieni"/>
    <x v="38"/>
    <x v="6"/>
  </r>
  <r>
    <s v="People Daily"/>
    <x v="12"/>
    <x v="378"/>
    <x v="0"/>
    <s v="Not Provided"/>
    <m/>
    <m/>
    <s v="Seth Mwaniki"/>
    <s v="Husband"/>
    <s v="Intimate"/>
    <s v="home"/>
    <x v="1"/>
    <s v="Argument"/>
    <s v="under investigation"/>
    <m/>
    <m/>
    <x v="1"/>
    <m/>
    <m/>
    <s v="Witima village"/>
    <x v="38"/>
    <x v="6"/>
  </r>
  <r>
    <s v="Allan Mungai And Darlington Manyara"/>
    <x v="4"/>
    <x v="379"/>
    <x v="0"/>
    <s v="Zerepiah Gathoni"/>
    <m/>
    <m/>
    <s v="Mr. Wakiwa"/>
    <s v="Husband"/>
    <s v="Intimate"/>
    <s v="home"/>
    <x v="4"/>
    <s v="Argument"/>
    <s v="under investigation"/>
    <m/>
    <m/>
    <x v="1"/>
    <m/>
    <m/>
    <s v="Gathundia Othaya"/>
    <x v="38"/>
    <x v="6"/>
  </r>
  <r>
    <s v="Nicholas Komu"/>
    <x v="5"/>
    <x v="380"/>
    <x v="0"/>
    <s v="Joan Muthoni"/>
    <m/>
    <m/>
    <s v="Not Provided"/>
    <s v="Friend"/>
    <s v="Non-intimate"/>
    <s v="Not Provided"/>
    <x v="4"/>
    <s v="Not Provided"/>
    <s v="under investigation"/>
    <m/>
    <m/>
    <x v="1"/>
    <m/>
    <m/>
    <s v="Nyeri town"/>
    <x v="38"/>
    <x v="6"/>
  </r>
  <r>
    <s v="Nicholas Komu"/>
    <x v="5"/>
    <x v="381"/>
    <x v="0"/>
    <s v="Not Provided"/>
    <n v="24"/>
    <m/>
    <s v="Not Provided"/>
    <s v="Ex-Husband"/>
    <s v="Intimate"/>
    <s v="home"/>
    <x v="4"/>
    <s v="Argument"/>
    <s v="under investigation"/>
    <m/>
    <m/>
    <x v="1"/>
    <m/>
    <m/>
    <s v="Nyaribo"/>
    <x v="38"/>
    <x v="6"/>
  </r>
  <r>
    <s v="Not Provided"/>
    <x v="3"/>
    <x v="4"/>
    <x v="0"/>
    <s v="Mary Wangui"/>
    <n v="24"/>
    <m/>
    <s v="Not Provided"/>
    <s v="Husband"/>
    <s v="Not Provided"/>
    <s v="Not Provided"/>
    <x v="3"/>
    <s v="Not Provided"/>
    <s v="Not Provided"/>
    <m/>
    <m/>
    <x v="1"/>
    <m/>
    <m/>
    <s v="Nyeri County"/>
    <x v="38"/>
    <x v="6"/>
  </r>
  <r>
    <s v="Stephen Munyiri"/>
    <x v="5"/>
    <x v="382"/>
    <x v="0"/>
    <s v="Grace Nyambura"/>
    <m/>
    <m/>
    <s v="Simon Nderitu"/>
    <s v="Husband"/>
    <s v="Intimate"/>
    <s v="home"/>
    <x v="4"/>
    <s v="Argument"/>
    <s v="under investigation"/>
    <m/>
    <m/>
    <x v="1"/>
    <m/>
    <m/>
    <s v="Karatina town"/>
    <x v="38"/>
    <x v="6"/>
  </r>
  <r>
    <s v="Not Provided"/>
    <x v="5"/>
    <x v="383"/>
    <x v="0"/>
    <s v="Catherine Nyambura"/>
    <m/>
    <d v="2020-05-25T00:00:00"/>
    <s v="MCA Eric Mwangi"/>
    <s v="Husband"/>
    <s v="Intimate"/>
    <s v="Public Space"/>
    <x v="3"/>
    <s v="Not Provided"/>
    <s v="under investigation"/>
    <m/>
    <m/>
    <x v="1"/>
    <m/>
    <m/>
    <s v="Hohwe dam"/>
    <x v="38"/>
    <x v="6"/>
  </r>
  <r>
    <s v="Stephen Munyiri"/>
    <x v="2"/>
    <x v="384"/>
    <x v="0"/>
    <s v="Lydia Nyaguthii"/>
    <m/>
    <d v="2022-05-18T00:00:00"/>
    <s v="Stephen Muriithi"/>
    <s v="Husband"/>
    <s v="Not Provided"/>
    <s v="home"/>
    <x v="4"/>
    <s v="Not Provided"/>
    <s v="Not Provided"/>
    <m/>
    <m/>
    <x v="1"/>
    <m/>
    <m/>
    <s v="Mathira"/>
    <x v="38"/>
    <x v="6"/>
  </r>
  <r>
    <s v=" Loise Wambugu"/>
    <x v="14"/>
    <x v="385"/>
    <x v="0"/>
    <s v="Judy Wangui "/>
    <n v="44"/>
    <d v="2023-05-29T00:00:00"/>
    <s v=" Dedan Gachoka"/>
    <s v="Husband"/>
    <s v="Intimate"/>
    <s v="home"/>
    <x v="2"/>
    <s v="Not Provided"/>
    <s v="Murder-suicide"/>
    <m/>
    <m/>
    <x v="1"/>
    <m/>
    <m/>
    <s v="Gathugu village in Mathira."/>
    <x v="38"/>
    <x v="6"/>
  </r>
  <r>
    <s v="Mercy Mwende"/>
    <x v="5"/>
    <x v="386"/>
    <x v="0"/>
    <s v="Peris Nyaguthii "/>
    <n v="19"/>
    <m/>
    <s v="Unknown assailant"/>
    <s v="Stranger"/>
    <s v="Not Provided"/>
    <s v="Public Space"/>
    <x v="3"/>
    <s v="Not Provided"/>
    <s v="under investigation"/>
    <m/>
    <m/>
    <x v="1"/>
    <m/>
    <m/>
    <s v="Kamahohu in Tetu"/>
    <x v="38"/>
    <x v="6"/>
  </r>
  <r>
    <s v="Isaiah Gwengi"/>
    <x v="4"/>
    <x v="387"/>
    <x v="0"/>
    <s v="Linnet Onyango"/>
    <m/>
    <m/>
    <s v="Elisha Ogolla a priest"/>
    <s v="Boyfriend"/>
    <s v="Intimate"/>
    <s v="home"/>
    <x v="1"/>
    <s v="Argument"/>
    <s v="under investigation"/>
    <m/>
    <m/>
    <x v="1"/>
    <m/>
    <m/>
    <s v="Mageta Island"/>
    <x v="39"/>
    <x v="5"/>
  </r>
  <r>
    <s v="Lameck Baraza"/>
    <x v="0"/>
    <x v="388"/>
    <x v="0"/>
    <s v="Valerie Apondi"/>
    <n v="23"/>
    <m/>
    <s v="Collins Pluoch Ogweno"/>
    <s v="Boyfriend"/>
    <s v="Intimate"/>
    <s v="home"/>
    <x v="1"/>
    <s v="Argument"/>
    <s v="under investigation"/>
    <m/>
    <m/>
    <x v="1"/>
    <m/>
    <m/>
    <s v="Bondo town"/>
    <x v="39"/>
    <x v="5"/>
  </r>
  <r>
    <s v="Nelcon Odhiambo"/>
    <x v="5"/>
    <x v="389"/>
    <x v="0"/>
    <s v="Anne Owuor"/>
    <n v="25"/>
    <m/>
    <s v="Not Provided"/>
    <s v="Stranger"/>
    <s v="Not Provided"/>
    <s v="Public Space"/>
    <x v="8"/>
    <s v="Not Provided"/>
    <s v="under investigation"/>
    <m/>
    <m/>
    <x v="1"/>
    <m/>
    <m/>
    <s v="Hawinga village"/>
    <x v="39"/>
    <x v="5"/>
  </r>
  <r>
    <s v="Not Provided"/>
    <x v="6"/>
    <x v="4"/>
    <x v="0"/>
    <s v="Maureen Aoko"/>
    <n v="30"/>
    <m/>
    <s v="Not Provided"/>
    <s v="Husband"/>
    <s v="Not Provided"/>
    <s v="Not Provided"/>
    <x v="3"/>
    <s v="Not Provided"/>
    <s v="Not Provided"/>
    <m/>
    <m/>
    <x v="1"/>
    <m/>
    <m/>
    <s v="Siaya County"/>
    <x v="39"/>
    <x v="5"/>
  </r>
  <r>
    <s v="Olivia Odhiambo"/>
    <x v="7"/>
    <x v="390"/>
    <x v="0"/>
    <s v="Lucy Awuor"/>
    <n v="36"/>
    <m/>
    <s v="Not Provided"/>
    <s v="Husband"/>
    <s v="Intimate"/>
    <s v="home"/>
    <x v="1"/>
    <s v="domestic scuffle"/>
    <s v="Not Provided"/>
    <m/>
    <m/>
    <x v="1"/>
    <m/>
    <m/>
    <s v="Acheo village of Kogelo"/>
    <x v="39"/>
    <x v="5"/>
  </r>
  <r>
    <s v="Olivia Odhiambo"/>
    <x v="7"/>
    <x v="391"/>
    <x v="0"/>
    <s v="Margaret Auma"/>
    <n v="15"/>
    <m/>
    <s v="Not Provided"/>
    <s v="Ex-Boyfriend"/>
    <s v="Intimate"/>
    <s v="home"/>
    <x v="4"/>
    <s v="Denied to marry her"/>
    <s v="Not Provided"/>
    <m/>
    <m/>
    <x v="1"/>
    <m/>
    <m/>
    <s v="Sinderma village"/>
    <x v="39"/>
    <x v="5"/>
  </r>
  <r>
    <s v="George Amolo"/>
    <x v="1"/>
    <x v="392"/>
    <x v="0"/>
    <s v="Jackline Akinyi"/>
    <n v="20"/>
    <m/>
    <s v="Mohamed Oloo"/>
    <s v="Boyfriend"/>
    <s v="Intimate"/>
    <s v="home"/>
    <x v="6"/>
    <s v="jealousy"/>
    <s v="under investigation"/>
    <m/>
    <m/>
    <x v="1"/>
    <m/>
    <m/>
    <s v="Wi-Omino village"/>
    <x v="39"/>
    <x v="5"/>
  </r>
  <r>
    <s v="Annette Wambulwa"/>
    <x v="0"/>
    <x v="297"/>
    <x v="0"/>
    <s v="Sarah Owino"/>
    <m/>
    <m/>
    <s v="Joshua Agano"/>
    <s v="Husband"/>
    <s v="Intimate"/>
    <s v="home"/>
    <x v="2"/>
    <s v="Drunk"/>
    <s v="Not Provided"/>
    <m/>
    <d v="2023-01-09T00:00:00"/>
    <x v="0"/>
    <n v="3"/>
    <n v="123"/>
    <s v="Kanyibok Village"/>
    <x v="39"/>
    <x v="5"/>
  </r>
  <r>
    <s v=" Kassim Adinasi"/>
    <x v="5"/>
    <x v="393"/>
    <x v="0"/>
    <s v="Caroline Akinyi"/>
    <n v="24"/>
    <m/>
    <s v="Collins Oduor Onyango"/>
    <s v="Husband"/>
    <s v="Intimate"/>
    <s v="Public Space"/>
    <x v="2"/>
    <s v="Argument"/>
    <s v="under investigation"/>
    <m/>
    <m/>
    <x v="1"/>
    <m/>
    <m/>
    <s v="Ochieng B village in Ligega sub-location"/>
    <x v="39"/>
    <x v="5"/>
  </r>
  <r>
    <s v="Renson Mnyamwezi"/>
    <x v="4"/>
    <x v="394"/>
    <x v="0"/>
    <s v="Not Provided"/>
    <m/>
    <m/>
    <s v="Not Provided"/>
    <s v="Family Member"/>
    <s v="Non-intimate"/>
    <s v="Public Space"/>
    <x v="2"/>
    <s v="Argument"/>
    <s v="under investigation"/>
    <m/>
    <m/>
    <x v="1"/>
    <m/>
    <m/>
    <s v="Mwatate"/>
    <x v="40"/>
    <x v="7"/>
  </r>
  <r>
    <s v="Renson Mnyamwezi"/>
    <x v="4"/>
    <x v="395"/>
    <x v="0"/>
    <s v="Diana Mkandoe Maganga"/>
    <n v="70"/>
    <m/>
    <s v="Not Provided"/>
    <s v="Stranger"/>
    <s v="Not Provided"/>
    <s v="Public Space"/>
    <x v="4"/>
    <s v="unkown"/>
    <s v="under investigation"/>
    <m/>
    <m/>
    <x v="1"/>
    <m/>
    <m/>
    <s v="Wundanyi town"/>
    <x v="40"/>
    <x v="7"/>
  </r>
  <r>
    <s v="Brian Ocharo And Lucy Mkanyika"/>
    <x v="5"/>
    <x v="396"/>
    <x v="0"/>
    <s v="Miriam Awino"/>
    <n v="20"/>
    <m/>
    <s v="Jeremiah Mwabiso"/>
    <s v="Husband"/>
    <s v="Intimate"/>
    <s v="home"/>
    <x v="4"/>
    <s v="Argument"/>
    <s v="under investigation"/>
    <m/>
    <m/>
    <x v="1"/>
    <m/>
    <m/>
    <s v="Voi"/>
    <x v="40"/>
    <x v="7"/>
  </r>
  <r>
    <s v="Solomon Muingi"/>
    <x v="0"/>
    <x v="316"/>
    <x v="0"/>
    <s v="Teckla Shighadi"/>
    <n v="37"/>
    <m/>
    <s v="Protus Nyangasera"/>
    <s v="Boyfriend"/>
    <s v="Intimate"/>
    <s v="home"/>
    <x v="4"/>
    <s v="Argument"/>
    <s v="under investigation"/>
    <m/>
    <m/>
    <x v="1"/>
    <m/>
    <m/>
    <s v="Mwanandunyi village"/>
    <x v="40"/>
    <x v="7"/>
  </r>
  <r>
    <s v="Renson Mnyamwezi And Mkamburi Mwawasi"/>
    <x v="4"/>
    <x v="200"/>
    <x v="0"/>
    <s v="Not Provided"/>
    <n v="71"/>
    <m/>
    <s v="Not Provided"/>
    <s v="Stranger"/>
    <s v="Non-intimate"/>
    <s v="home"/>
    <x v="8"/>
    <s v="Not Provided"/>
    <s v="under investigation"/>
    <m/>
    <m/>
    <x v="1"/>
    <m/>
    <m/>
    <s v="Lushangonyi village"/>
    <x v="40"/>
    <x v="7"/>
  </r>
  <r>
    <s v="Solomon Muingi"/>
    <x v="0"/>
    <x v="175"/>
    <x v="0"/>
    <s v="Mary Mwamtungu"/>
    <m/>
    <m/>
    <s v="Not Provided"/>
    <s v="Stranger"/>
    <s v="Non-intimate"/>
    <s v="Public Space"/>
    <x v="0"/>
    <s v="Not Provided"/>
    <s v="under investigation"/>
    <m/>
    <m/>
    <x v="1"/>
    <m/>
    <m/>
    <s v="Wundanyi"/>
    <x v="40"/>
    <x v="7"/>
  </r>
  <r>
    <s v="Not Provided"/>
    <x v="5"/>
    <x v="251"/>
    <x v="0"/>
    <s v="Rabai Dumal Elema"/>
    <n v="58"/>
    <m/>
    <s v="Not Provided"/>
    <s v="Stranger"/>
    <s v="Not Provided"/>
    <s v="Public Space"/>
    <x v="1"/>
    <s v="Not Provided"/>
    <s v="under investigation"/>
    <m/>
    <m/>
    <x v="1"/>
    <m/>
    <m/>
    <s v="Vibao viwili village"/>
    <x v="41"/>
    <x v="7"/>
  </r>
  <r>
    <s v="Alex Njeru"/>
    <x v="5"/>
    <x v="397"/>
    <x v="0"/>
    <s v="Ann Kambura"/>
    <n v="21"/>
    <d v="2023-05-24T00:00:00"/>
    <s v="Not Provided"/>
    <s v="Stranger"/>
    <s v="Not Provided"/>
    <s v="Public Space"/>
    <x v="6"/>
    <s v="Not Provided"/>
    <s v="under investigation"/>
    <m/>
    <m/>
    <x v="1"/>
    <m/>
    <m/>
    <s v="Kabuboni village"/>
    <x v="42"/>
    <x v="3"/>
  </r>
  <r>
    <s v="Osinde Obare"/>
    <x v="7"/>
    <x v="242"/>
    <x v="0"/>
    <s v="Agnes Chepkorir Kosgei"/>
    <n v="56"/>
    <m/>
    <s v="Robin Oyori Osuma"/>
    <s v="Family Member"/>
    <s v="Not Provided"/>
    <s v="home"/>
    <x v="4"/>
    <s v="Not Provided"/>
    <s v="Not Provided"/>
    <m/>
    <m/>
    <x v="1"/>
    <m/>
    <m/>
    <s v="Siyoi village within Amuka location"/>
    <x v="43"/>
    <x v="1"/>
  </r>
  <r>
    <s v="People Daily"/>
    <x v="12"/>
    <x v="398"/>
    <x v="0"/>
    <s v="Scholastica Mmbihi"/>
    <m/>
    <m/>
    <s v="Pst. Musa Wekesa"/>
    <s v="Stranger"/>
    <s v="Not Provided"/>
    <s v="home"/>
    <x v="4"/>
    <s v="Argument"/>
    <s v="Not Provided"/>
    <m/>
    <d v="2019-05-25T00:00:00"/>
    <x v="0"/>
    <n v="25"/>
    <n v="2879"/>
    <s v="Kitale"/>
    <x v="43"/>
    <x v="1"/>
  </r>
  <r>
    <s v="Gerald Bwisa"/>
    <x v="5"/>
    <x v="399"/>
    <x v="0"/>
    <s v="Alice Wangu Kamau"/>
    <m/>
    <d v="2012-05-10T00:00:00"/>
    <s v="Samson Kamau Njoroge"/>
    <s v="Ex-Boyfriend"/>
    <s v="Intimate"/>
    <s v="Public Space"/>
    <x v="4"/>
    <s v="divorce"/>
    <s v="Not Provided"/>
    <m/>
    <d v="2019-09-25T00:00:00"/>
    <x v="0"/>
    <n v="25"/>
    <n v="2694"/>
    <s v="Naisambu"/>
    <x v="43"/>
    <x v="1"/>
  </r>
  <r>
    <s v="Stanley Ogwae"/>
    <x v="4"/>
    <x v="186"/>
    <x v="0"/>
    <s v="Aznath Kerubo"/>
    <m/>
    <m/>
    <s v="Joah Marube"/>
    <s v="Husband"/>
    <s v="Intimate"/>
    <s v="home"/>
    <x v="2"/>
    <s v="Not Provided"/>
    <s v="Ongoing hearing"/>
    <m/>
    <m/>
    <x v="1"/>
    <m/>
    <m/>
    <s v="Tondori village"/>
    <x v="43"/>
    <x v="1"/>
  </r>
  <r>
    <s v="Osinde Obare"/>
    <x v="4"/>
    <x v="315"/>
    <x v="0"/>
    <s v="Esther Wangui"/>
    <n v="23"/>
    <m/>
    <s v="Anthony Karanja"/>
    <s v="Husband"/>
    <s v="Intimate"/>
    <s v="home"/>
    <x v="4"/>
    <s v="Argument"/>
    <s v="under investigation"/>
    <m/>
    <m/>
    <x v="1"/>
    <m/>
    <m/>
    <s v="Kitale"/>
    <x v="43"/>
    <x v="1"/>
  </r>
  <r>
    <s v="Osinde Obare"/>
    <x v="4"/>
    <x v="400"/>
    <x v="0"/>
    <s v="Not Provided"/>
    <n v="80"/>
    <m/>
    <s v="Not Provided"/>
    <s v="Stranger"/>
    <s v="Not Provided"/>
    <s v="Public Space"/>
    <x v="6"/>
    <s v="Organized crime"/>
    <s v="under investigation"/>
    <m/>
    <m/>
    <x v="1"/>
    <m/>
    <m/>
    <s v="Masaba B"/>
    <x v="43"/>
    <x v="1"/>
  </r>
  <r>
    <s v="Osinde Obare"/>
    <x v="4"/>
    <x v="401"/>
    <x v="0"/>
    <s v="Not Provided"/>
    <n v="36"/>
    <m/>
    <s v="Not Provided"/>
    <s v="Husband"/>
    <s v="Intimate"/>
    <s v="home"/>
    <x v="6"/>
    <s v="Argument"/>
    <s v="under investigation"/>
    <m/>
    <m/>
    <x v="1"/>
    <m/>
    <m/>
    <s v="Babaton location"/>
    <x v="43"/>
    <x v="1"/>
  </r>
  <r>
    <s v="Titus Ominde"/>
    <x v="5"/>
    <x v="402"/>
    <x v="0"/>
    <s v="Fenny Bosibori"/>
    <n v="42"/>
    <m/>
    <s v="Const. Bernard Ndege"/>
    <s v="Husband"/>
    <s v="Intimate"/>
    <s v="home"/>
    <x v="7"/>
    <s v="Argument"/>
    <s v="Ongoing hearing"/>
    <d v="2020-03-04T00:00:00"/>
    <m/>
    <x v="1"/>
    <m/>
    <m/>
    <s v="Soy police station"/>
    <x v="43"/>
    <x v="1"/>
  </r>
  <r>
    <s v="Gerald Bwisa"/>
    <x v="5"/>
    <x v="79"/>
    <x v="0"/>
    <s v="Prisca Cheruto"/>
    <n v="51"/>
    <d v="2019-05-06T00:00:00"/>
    <s v="Daniel koech"/>
    <s v="Husband"/>
    <s v="Intimate"/>
    <s v="home"/>
    <x v="1"/>
    <s v="Argument"/>
    <s v="under investigation"/>
    <m/>
    <m/>
    <x v="1"/>
    <m/>
    <m/>
    <s v="Soy Minning village"/>
    <x v="43"/>
    <x v="1"/>
  </r>
  <r>
    <s v="Gerald Bwisa"/>
    <x v="5"/>
    <x v="403"/>
    <x v="0"/>
    <s v="Caren Chebet"/>
    <m/>
    <m/>
    <s v="Stephen Kagumo"/>
    <s v="Husband"/>
    <s v="Intimate"/>
    <s v="home"/>
    <x v="1"/>
    <s v="Argument"/>
    <s v="both are dead"/>
    <m/>
    <m/>
    <x v="1"/>
    <m/>
    <m/>
    <s v="Makung village"/>
    <x v="43"/>
    <x v="1"/>
  </r>
  <r>
    <s v="Evans Jaola"/>
    <x v="5"/>
    <x v="299"/>
    <x v="0"/>
    <s v="Nancy Chelimo"/>
    <n v="43"/>
    <m/>
    <s v="Alex Chemwantei Cheroben "/>
    <s v="Husband"/>
    <s v="Intimate"/>
    <s v="home"/>
    <x v="5"/>
    <s v="mistrust in the relationship"/>
    <s v="under investigation"/>
    <d v="2023-03-06T00:00:00"/>
    <m/>
    <x v="1"/>
    <m/>
    <m/>
    <s v="Nyakoingwana village"/>
    <x v="43"/>
    <x v="1"/>
  </r>
  <r>
    <s v="By _x000a_ Sammy Lutta"/>
    <x v="11"/>
    <x v="404"/>
    <x v="0"/>
    <s v="Winnie Akimat"/>
    <n v="18"/>
    <m/>
    <s v="Victor Ekal"/>
    <s v="Boyfriend"/>
    <s v="Intimate"/>
    <s v="home"/>
    <x v="6"/>
    <s v="Not Provided"/>
    <s v="under investigation"/>
    <m/>
    <m/>
    <x v="1"/>
    <m/>
    <m/>
    <s v="Juluok village"/>
    <x v="44"/>
    <x v="1"/>
  </r>
  <r>
    <s v="Lynn Kolongei"/>
    <x v="4"/>
    <x v="405"/>
    <x v="0"/>
    <s v="Margaret Kobilo"/>
    <m/>
    <m/>
    <s v="Agnes Cheronoi"/>
    <s v="Friend"/>
    <s v="Non-intimate"/>
    <s v="home"/>
    <x v="2"/>
    <s v="jealousy"/>
    <s v="Not Provided"/>
    <m/>
    <d v="2021-12-24T00:00:00"/>
    <x v="0"/>
    <n v="10"/>
    <n v="2566"/>
    <s v="Chegilet village"/>
    <x v="5"/>
    <x v="1"/>
  </r>
  <r>
    <s v="Mathews Ndanyi"/>
    <x v="0"/>
    <x v="15"/>
    <x v="0"/>
    <s v="Esther Achieng"/>
    <m/>
    <m/>
    <s v="David Amuoka"/>
    <s v="Husband"/>
    <s v="Intimate"/>
    <s v="home"/>
    <x v="4"/>
    <s v="Argument"/>
    <s v="under investigation"/>
    <m/>
    <m/>
    <x v="1"/>
    <m/>
    <m/>
    <s v="Kahoya Estate"/>
    <x v="5"/>
    <x v="1"/>
  </r>
  <r>
    <s v="Stephen Rutto"/>
    <x v="4"/>
    <x v="406"/>
    <x v="0"/>
    <s v="Viverline Jemutai"/>
    <n v="19"/>
    <m/>
    <s v="David Kipsang"/>
    <s v="Stranger"/>
    <s v="Not Provided"/>
    <s v="home"/>
    <x v="4"/>
    <s v="Not Provided"/>
    <s v="Ongoing hearing"/>
    <d v="2018-09-21T00:00:00"/>
    <m/>
    <x v="1"/>
    <m/>
    <m/>
    <s v="Eldoret town"/>
    <x v="5"/>
    <x v="1"/>
  </r>
  <r>
    <s v="Mathews Ndanyi"/>
    <x v="0"/>
    <x v="43"/>
    <x v="0"/>
    <s v="Fiona Kisuya"/>
    <n v="25"/>
    <m/>
    <s v="David Siloba"/>
    <s v="Boyfriend"/>
    <s v="Intimate"/>
    <s v="home"/>
    <x v="6"/>
    <s v="Argument"/>
    <s v="Ongoing hearing"/>
    <d v="2019-03-14T00:00:00"/>
    <m/>
    <x v="1"/>
    <m/>
    <m/>
    <s v="Eldoret town"/>
    <x v="5"/>
    <x v="1"/>
  </r>
  <r>
    <s v="Vincent Achuka"/>
    <x v="5"/>
    <x v="407"/>
    <x v="0"/>
    <s v="Ivy Wangechi"/>
    <n v="25"/>
    <m/>
    <s v="Naftali Kinuthia"/>
    <s v="Boyfriend"/>
    <s v="Intimate"/>
    <s v="Public Space"/>
    <x v="1"/>
    <s v="jealousy"/>
    <s v="Ongoing hearing"/>
    <d v="2019-04-15T00:00:00"/>
    <m/>
    <x v="0"/>
    <m/>
    <n v="1662"/>
    <s v="Eldoret town"/>
    <x v="5"/>
    <x v="1"/>
  </r>
  <r>
    <s v="Not Provided"/>
    <x v="6"/>
    <x v="4"/>
    <x v="0"/>
    <s v="Khanali Mwonobe"/>
    <m/>
    <m/>
    <s v="Not Provided"/>
    <s v="Husband"/>
    <s v="Not Provided"/>
    <s v="Not Provided"/>
    <x v="3"/>
    <s v="Not Provided"/>
    <s v="Not Provided"/>
    <m/>
    <m/>
    <x v="1"/>
    <m/>
    <m/>
    <s v="Uasin Gishu County"/>
    <x v="5"/>
    <x v="1"/>
  </r>
  <r>
    <s v="Titus Ominde"/>
    <x v="5"/>
    <x v="408"/>
    <x v="0"/>
    <s v="Gloria Jepleiting Sangutei"/>
    <n v="27"/>
    <m/>
    <s v="Isaiah Samoei Kipchirchir"/>
    <s v="Ex-Husband"/>
    <s v="Intimate"/>
    <s v="Not Provided"/>
    <x v="6"/>
    <s v="Not Provided"/>
    <s v="Ongoing hearing"/>
    <d v="2019-08-13T00:00:00"/>
    <m/>
    <x v="1"/>
    <m/>
    <m/>
    <s v="Not Provided"/>
    <x v="5"/>
    <x v="1"/>
  </r>
  <r>
    <s v="Not Provided"/>
    <x v="5"/>
    <x v="4"/>
    <x v="0"/>
    <s v="Robina Moraa"/>
    <m/>
    <m/>
    <s v="Not Provided"/>
    <s v="Boyfriend"/>
    <s v="Not Provided"/>
    <s v="Not Provided"/>
    <x v="3"/>
    <s v="Not Provided"/>
    <s v="Not Provided"/>
    <m/>
    <m/>
    <x v="1"/>
    <m/>
    <m/>
    <s v="Uasin Gishu County"/>
    <x v="5"/>
    <x v="1"/>
  </r>
  <r>
    <s v="Mathews Ndanyi"/>
    <x v="0"/>
    <x v="409"/>
    <x v="0"/>
    <s v="Emma Wanyota"/>
    <n v="26"/>
    <m/>
    <s v="Mustafa Idd"/>
    <s v="Stranger"/>
    <s v="Not Provided"/>
    <s v="Public Space"/>
    <x v="1"/>
    <s v="Not Provided"/>
    <s v="Ongoing hearing"/>
    <d v="2019-11-05T00:00:00"/>
    <m/>
    <x v="1"/>
    <m/>
    <m/>
    <s v="Moi's Bridge"/>
    <x v="5"/>
    <x v="1"/>
  </r>
  <r>
    <s v="Carolyne Kubwa"/>
    <x v="20"/>
    <x v="410"/>
    <x v="0"/>
    <s v="Staicy Achieng Nabiso"/>
    <n v="10"/>
    <m/>
    <s v="Evans Juma Wanjala"/>
    <s v="Stranger"/>
    <s v="Not Provided"/>
    <s v="Not Provided"/>
    <x v="8"/>
    <s v="Not Provided"/>
    <s v="Not Provided"/>
    <m/>
    <m/>
    <x v="1"/>
    <m/>
    <m/>
    <s v="Soy"/>
    <x v="5"/>
    <x v="1"/>
  </r>
  <r>
    <s v="Hilton Otenyo"/>
    <x v="0"/>
    <x v="411"/>
    <x v="0"/>
    <s v="Diana Wekesa"/>
    <n v="20"/>
    <d v="2021-05-26T00:00:00"/>
    <s v="John Kuria"/>
    <s v="Husband"/>
    <s v="Intimate"/>
    <s v="home"/>
    <x v="4"/>
    <s v="Argument"/>
    <s v="both are dead"/>
    <m/>
    <m/>
    <x v="1"/>
    <m/>
    <m/>
    <s v="Kolonget village"/>
    <x v="5"/>
    <x v="1"/>
  </r>
  <r>
    <s v="Mathews Ndanyi"/>
    <x v="0"/>
    <x v="194"/>
    <x v="0"/>
    <s v="Hilda Kosgei"/>
    <m/>
    <m/>
    <s v="Douglas kipchumba"/>
    <s v="Ex-Boyfriend"/>
    <s v="Intimate"/>
    <s v="home"/>
    <x v="2"/>
    <s v="breakup"/>
    <s v="under investigation"/>
    <d v="2021-12-15T00:00:00"/>
    <m/>
    <x v="1"/>
    <m/>
    <m/>
    <s v="Eldoret town"/>
    <x v="5"/>
    <x v="1"/>
  </r>
  <r>
    <s v="Jessicah Nyaboke"/>
    <x v="0"/>
    <x v="168"/>
    <x v="0"/>
    <s v="Stacy Chemutai"/>
    <m/>
    <d v="2023-05-01T00:00:00"/>
    <s v="Peter Kimulwo"/>
    <s v="Boyfriend"/>
    <s v="Intimate"/>
    <s v="home"/>
    <x v="4"/>
    <s v="Not Provided"/>
    <s v="under investigation"/>
    <m/>
    <m/>
    <x v="1"/>
    <m/>
    <m/>
    <s v="Sogomo centre"/>
    <x v="5"/>
    <x v="1"/>
  </r>
  <r>
    <s v="Fred Kibor And Barnabas Bii"/>
    <x v="5"/>
    <x v="412"/>
    <x v="0"/>
    <s v="Sheila Jepkemboi Kirwa"/>
    <n v="32"/>
    <m/>
    <s v="Eliud Kipchoge"/>
    <s v="Boyfriend"/>
    <s v="Intimate"/>
    <s v="Other"/>
    <x v="1"/>
    <s v="argument during a drinking spree"/>
    <s v="under investigation"/>
    <m/>
    <m/>
    <x v="1"/>
    <m/>
    <m/>
    <s v="Kibolo village"/>
    <x v="5"/>
    <x v="1"/>
  </r>
  <r>
    <s v="Lynn Kolongei"/>
    <x v="4"/>
    <x v="413"/>
    <x v="0"/>
    <s v="Mary Chesang"/>
    <m/>
    <m/>
    <s v="Joseph Kibet"/>
    <s v="Husband"/>
    <s v="Intimate"/>
    <s v="home"/>
    <x v="3"/>
    <s v="Not Provided"/>
    <s v="Ongoing hearing"/>
    <d v="2021-12-02T00:00:00"/>
    <m/>
    <x v="1"/>
    <m/>
    <m/>
    <s v="Ngenyilele"/>
    <x v="5"/>
    <x v="1"/>
  </r>
  <r>
    <s v="Derrick Luvega"/>
    <x v="5"/>
    <x v="414"/>
    <x v="0"/>
    <s v="Not Provided"/>
    <m/>
    <m/>
    <s v="Sammy Muhanji"/>
    <s v="Husband"/>
    <s v="Intimate"/>
    <s v="home"/>
    <x v="1"/>
    <s v="Not Provided"/>
    <s v="both are dead"/>
    <m/>
    <m/>
    <x v="1"/>
    <m/>
    <m/>
    <s v="Elukui village"/>
    <x v="45"/>
    <x v="2"/>
  </r>
  <r>
    <s v="Cyrus Ombati"/>
    <x v="0"/>
    <x v="4"/>
    <x v="0"/>
    <s v="Not Provided"/>
    <n v="76"/>
    <m/>
    <s v="Patrick Misiko and Christine Jerono"/>
    <s v="Stranger"/>
    <s v="Non-intimate"/>
    <s v="home"/>
    <x v="2"/>
    <s v="Robbery"/>
    <s v="under investigation"/>
    <m/>
    <m/>
    <x v="1"/>
    <m/>
    <m/>
    <s v="Serem area"/>
    <x v="45"/>
    <x v="2"/>
  </r>
  <r>
    <s v="Citizen Reporter"/>
    <x v="1"/>
    <x v="415"/>
    <x v="0"/>
    <s v="Everline Achai"/>
    <m/>
    <m/>
    <s v="James Mutonyi"/>
    <s v="Boyfriend"/>
    <s v="Intimate"/>
    <s v="Public Space"/>
    <x v="4"/>
    <s v="received information that his girlfriend was spotted with another man "/>
    <s v="under investigation"/>
    <m/>
    <m/>
    <x v="1"/>
    <m/>
    <m/>
    <s v="Ematunzi village"/>
    <x v="45"/>
    <x v="2"/>
  </r>
  <r>
    <s v="Irissheel Shanzu"/>
    <x v="4"/>
    <x v="416"/>
    <x v="0"/>
    <s v="Not Provided"/>
    <m/>
    <m/>
    <s v="Patrick Losimer"/>
    <s v="Husband"/>
    <s v="Intimate"/>
    <s v="home"/>
    <x v="4"/>
    <s v="Argument"/>
    <s v="under investigation"/>
    <m/>
    <m/>
    <x v="1"/>
    <m/>
    <m/>
    <s v="Kaptabuk location"/>
    <x v="46"/>
    <x v="1"/>
  </r>
  <r>
    <s v="Maryann Chai"/>
    <x v="0"/>
    <x v="417"/>
    <x v="0"/>
    <s v="Not Provided"/>
    <m/>
    <m/>
    <s v="Jimmy Njoroge"/>
    <s v="Husband"/>
    <s v="Intimate"/>
    <s v="home"/>
    <x v="4"/>
    <s v="Argument"/>
    <s v="under investigation"/>
    <m/>
    <m/>
    <x v="1"/>
    <m/>
    <m/>
    <s v="Mawingo slum"/>
    <x v="46"/>
    <x v="1"/>
  </r>
  <r>
    <s v=" Irissheel Shanzu"/>
    <x v="7"/>
    <x v="4"/>
    <x v="0"/>
    <s v="Not Provided"/>
    <m/>
    <m/>
    <s v="Joseph Lokwang"/>
    <s v="Husband"/>
    <s v="Intimate"/>
    <s v="home"/>
    <x v="4"/>
    <s v="Family dispute"/>
    <s v="Not Provided"/>
    <m/>
    <m/>
    <x v="1"/>
    <m/>
    <m/>
    <s v="Bendera area"/>
    <x v="46"/>
    <x v="1"/>
  </r>
  <r>
    <s v="Maryann Chai"/>
    <x v="0"/>
    <x v="358"/>
    <x v="0"/>
    <s v="Not Provided"/>
    <m/>
    <m/>
    <s v="Not Provided"/>
    <s v="Husband"/>
    <s v="Intimate"/>
    <s v="home"/>
    <x v="2"/>
    <s v="Argument"/>
    <s v="under investigation"/>
    <m/>
    <m/>
    <x v="1"/>
    <m/>
    <m/>
    <s v="Makutano town"/>
    <x v="46"/>
    <x v="1"/>
  </r>
  <r>
    <s v="Irissheel Shanzu"/>
    <x v="4"/>
    <x v="339"/>
    <x v="0"/>
    <s v="Lydia Cheruiyot"/>
    <n v="30"/>
    <d v="2022-05-20T00:00:00"/>
    <s v="Vincent kibet"/>
    <s v="Boyfriend"/>
    <s v="Intimate"/>
    <s v="home"/>
    <x v="4"/>
    <s v="Argument"/>
    <s v="both are dead"/>
    <m/>
    <m/>
    <x v="1"/>
    <m/>
    <m/>
    <s v="Samich Primary School"/>
    <x v="46"/>
    <x v="1"/>
  </r>
  <r>
    <s v="Irissheel Shanzu "/>
    <x v="10"/>
    <x v="418"/>
    <x v="0"/>
    <s v="Sheila Cherop "/>
    <n v="26"/>
    <m/>
    <s v="Francis Masinde"/>
    <s v="Boyfriend"/>
    <s v="Intimate"/>
    <s v="home"/>
    <x v="0"/>
    <s v="Not Provided"/>
    <s v="Murder-suicide"/>
    <m/>
    <m/>
    <x v="1"/>
    <m/>
    <m/>
    <s v="Chebon Location."/>
    <x v="4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3ABC27-D959-4275-909E-C81D57A14CA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4" firstHeaderRow="1" firstDataRow="2" firstDataCol="1"/>
  <pivotFields count="21">
    <pivotField showAll="0"/>
    <pivotField showAll="0"/>
    <pivotField showAll="0"/>
    <pivotField showAll="0"/>
    <pivotField dataField="1" showAll="0"/>
    <pivotField axis="axisRow" showAll="0">
      <items count="12">
        <item h="1" x="0"/>
        <item x="1"/>
        <item x="2"/>
        <item x="3"/>
        <item x="4"/>
        <item x="5"/>
        <item x="6"/>
        <item x="7"/>
        <item x="8"/>
        <item x="9"/>
        <item x="10"/>
        <item t="default"/>
      </items>
    </pivotField>
    <pivotField showAll="0"/>
    <pivotField showAll="0"/>
    <pivotField showAll="0">
      <items count="10">
        <item x="3"/>
        <item x="2"/>
        <item x="1"/>
        <item x="5"/>
        <item x="6"/>
        <item x="0"/>
        <item x="7"/>
        <item x="4"/>
        <item x="8"/>
        <item t="default"/>
      </items>
    </pivotField>
    <pivotField axis="axisCol" showAll="0">
      <items count="5">
        <item x="0"/>
        <item x="2"/>
        <item h="1" x="1"/>
        <item h="1" x="3"/>
        <item t="default"/>
      </items>
    </pivotField>
    <pivotField showAll="0">
      <items count="8">
        <item x="0"/>
        <item x="1"/>
        <item x="4"/>
        <item x="2"/>
        <item x="3"/>
        <item x="5"/>
        <item x="6"/>
        <item t="default"/>
      </items>
    </pivotField>
    <pivotField showAll="0"/>
    <pivotField showAll="0"/>
    <pivotField showAll="0">
      <items count="11">
        <item x="3"/>
        <item x="7"/>
        <item x="5"/>
        <item x="0"/>
        <item x="4"/>
        <item x="2"/>
        <item x="6"/>
        <item x="8"/>
        <item x="1"/>
        <item x="9"/>
        <item t="default"/>
      </items>
    </pivotField>
    <pivotField showAll="0"/>
    <pivotField showAll="0"/>
    <pivotField showAll="0"/>
    <pivotField showAll="0"/>
    <pivotField showAll="0"/>
    <pivotField showAll="0"/>
    <pivotField showAll="0"/>
  </pivotFields>
  <rowFields count="1">
    <field x="5"/>
  </rowFields>
  <rowItems count="10">
    <i>
      <x v="1"/>
    </i>
    <i>
      <x v="2"/>
    </i>
    <i>
      <x v="3"/>
    </i>
    <i>
      <x v="4"/>
    </i>
    <i>
      <x v="5"/>
    </i>
    <i>
      <x v="6"/>
    </i>
    <i>
      <x v="7"/>
    </i>
    <i>
      <x v="8"/>
    </i>
    <i>
      <x v="9"/>
    </i>
    <i t="grand">
      <x/>
    </i>
  </rowItems>
  <colFields count="1">
    <field x="9"/>
  </colFields>
  <colItems count="3">
    <i>
      <x/>
    </i>
    <i>
      <x v="1"/>
    </i>
    <i t="grand">
      <x/>
    </i>
  </colItems>
  <dataFields count="1">
    <dataField name="Count of name_of_victim" fld="4" subtotal="count" baseField="0" baseItem="0"/>
  </dataFields>
  <chartFormats count="7">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1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1D099A-2F40-41A5-A106-A5ACE405EDA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21">
    <pivotField showAll="0"/>
    <pivotField showAll="0"/>
    <pivotField showAll="0"/>
    <pivotField dataField="1" showAll="0"/>
    <pivotField showAll="0"/>
    <pivotField showAll="0"/>
    <pivotField showAll="0"/>
    <pivotField showAll="0"/>
    <pivotField showAll="0">
      <items count="10">
        <item x="3"/>
        <item x="2"/>
        <item x="1"/>
        <item x="5"/>
        <item x="6"/>
        <item x="0"/>
        <item x="7"/>
        <item x="4"/>
        <item x="8"/>
        <item t="default"/>
      </items>
    </pivotField>
    <pivotField showAll="0">
      <items count="5">
        <item x="0"/>
        <item x="2"/>
        <item h="1" x="1"/>
        <item h="1" x="3"/>
        <item t="default"/>
      </items>
    </pivotField>
    <pivotField axis="axisRow" showAll="0">
      <items count="8">
        <item x="0"/>
        <item x="1"/>
        <item x="4"/>
        <item x="2"/>
        <item x="3"/>
        <item x="5"/>
        <item x="6"/>
        <item t="default"/>
      </items>
    </pivotField>
    <pivotField showAll="0"/>
    <pivotField showAll="0"/>
    <pivotField showAll="0">
      <items count="11">
        <item x="3"/>
        <item x="7"/>
        <item x="5"/>
        <item x="0"/>
        <item x="4"/>
        <item x="2"/>
        <item x="6"/>
        <item x="8"/>
        <item x="1"/>
        <item x="9"/>
        <item t="default"/>
      </items>
    </pivotField>
    <pivotField showAll="0"/>
    <pivotField showAll="0"/>
    <pivotField showAll="0"/>
    <pivotField showAll="0"/>
    <pivotField showAll="0"/>
    <pivotField showAll="0"/>
    <pivotField showAll="0">
      <items count="5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0"/>
        <item x="40"/>
        <item x="41"/>
        <item x="42"/>
        <item x="43"/>
        <item x="44"/>
        <item x="45"/>
        <item x="46"/>
        <item x="47"/>
        <item x="48"/>
        <item x="49"/>
        <item x="50"/>
        <item x="51"/>
        <item x="52"/>
        <item x="53"/>
        <item t="default"/>
      </items>
    </pivotField>
  </pivotFields>
  <rowFields count="1">
    <field x="10"/>
  </rowFields>
  <rowItems count="7">
    <i>
      <x/>
    </i>
    <i>
      <x v="1"/>
    </i>
    <i>
      <x v="2"/>
    </i>
    <i>
      <x v="3"/>
    </i>
    <i>
      <x v="4"/>
    </i>
    <i>
      <x v="5"/>
    </i>
    <i t="grand">
      <x/>
    </i>
  </rowItems>
  <colItems count="1">
    <i/>
  </colItems>
  <dataFields count="1">
    <dataField name="Count of type_of_murder" fld="3" subtotal="count" baseField="0" baseItem="0"/>
  </dataFields>
  <chartFormats count="15">
    <chartFormat chart="0" format="60" series="1">
      <pivotArea type="data" outline="0" fieldPosition="0">
        <references count="2">
          <reference field="4294967294" count="1" selected="0">
            <x v="0"/>
          </reference>
          <reference field="10" count="1" selected="0">
            <x v="3"/>
          </reference>
        </references>
      </pivotArea>
    </chartFormat>
    <chartFormat chart="0" format="61" series="1">
      <pivotArea type="data" outline="0" fieldPosition="0">
        <references count="2">
          <reference field="4294967294" count="1" selected="0">
            <x v="0"/>
          </reference>
          <reference field="10" count="1" selected="0">
            <x v="4"/>
          </reference>
        </references>
      </pivotArea>
    </chartFormat>
    <chartFormat chart="0" format="62" series="1">
      <pivotArea type="data" outline="0" fieldPosition="0">
        <references count="2">
          <reference field="4294967294" count="1" selected="0">
            <x v="0"/>
          </reference>
          <reference field="10" count="1" selected="0">
            <x v="5"/>
          </reference>
        </references>
      </pivotArea>
    </chartFormat>
    <chartFormat chart="0" format="63" series="1">
      <pivotArea type="data" outline="0" fieldPosition="0">
        <references count="2">
          <reference field="4294967294" count="1" selected="0">
            <x v="0"/>
          </reference>
          <reference field="10" count="1" selected="0">
            <x v="6"/>
          </reference>
        </references>
      </pivotArea>
    </chartFormat>
    <chartFormat chart="0" format="64" series="1">
      <pivotArea type="data" outline="0" fieldPosition="0">
        <references count="2">
          <reference field="4294967294" count="1" selected="0">
            <x v="0"/>
          </reference>
          <reference field="10" count="1" selected="0">
            <x v="0"/>
          </reference>
        </references>
      </pivotArea>
    </chartFormat>
    <chartFormat chart="0" format="65" series="1">
      <pivotArea type="data" outline="0" fieldPosition="0">
        <references count="2">
          <reference field="4294967294" count="1" selected="0">
            <x v="0"/>
          </reference>
          <reference field="10" count="1" selected="0">
            <x v="1"/>
          </reference>
        </references>
      </pivotArea>
    </chartFormat>
    <chartFormat chart="0" format="66" series="1">
      <pivotArea type="data" outline="0" fieldPosition="0">
        <references count="2">
          <reference field="4294967294" count="1" selected="0">
            <x v="0"/>
          </reference>
          <reference field="10" count="1" selected="0">
            <x v="2"/>
          </reference>
        </references>
      </pivotArea>
    </chartFormat>
    <chartFormat chart="0" format="67"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2"/>
          </reference>
        </references>
      </pivotArea>
    </chartFormat>
    <chartFormat chart="1" format="3">
      <pivotArea type="data" outline="0" fieldPosition="0">
        <references count="2">
          <reference field="4294967294" count="1" selected="0">
            <x v="0"/>
          </reference>
          <reference field="10" count="1" selected="0">
            <x v="3"/>
          </reference>
        </references>
      </pivotArea>
    </chartFormat>
    <chartFormat chart="1" format="4">
      <pivotArea type="data" outline="0" fieldPosition="0">
        <references count="2">
          <reference field="4294967294" count="1" selected="0">
            <x v="0"/>
          </reference>
          <reference field="10" count="1" selected="0">
            <x v="4"/>
          </reference>
        </references>
      </pivotArea>
    </chartFormat>
    <chartFormat chart="1" format="5">
      <pivotArea type="data" outline="0" fieldPosition="0">
        <references count="2">
          <reference field="4294967294" count="1" selected="0">
            <x v="0"/>
          </reference>
          <reference field="10" count="1" selected="0">
            <x v="5"/>
          </reference>
        </references>
      </pivotArea>
    </chartFormat>
    <chartFormat chart="4" format="6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26C05F-845F-4715-9721-868841A467B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5" firstHeaderRow="1" firstDataRow="1" firstDataCol="1"/>
  <pivotFields count="21">
    <pivotField showAll="0"/>
    <pivotField showAll="0"/>
    <pivotField showAll="0"/>
    <pivotField showAll="0"/>
    <pivotField dataField="1" showAll="0">
      <items count="400">
        <item x="192"/>
        <item x="333"/>
        <item x="33"/>
        <item x="199"/>
        <item x="262"/>
        <item x="9"/>
        <item x="147"/>
        <item x="243"/>
        <item x="334"/>
        <item x="146"/>
        <item x="115"/>
        <item x="370"/>
        <item x="336"/>
        <item x="24"/>
        <item x="140"/>
        <item x="185"/>
        <item x="323"/>
        <item x="107"/>
        <item x="112"/>
        <item x="372"/>
        <item x="297"/>
        <item x="234"/>
        <item x="251"/>
        <item x="369"/>
        <item x="181"/>
        <item x="203"/>
        <item x="57"/>
        <item x="127"/>
        <item x="309"/>
        <item x="247"/>
        <item x="77"/>
        <item x="207"/>
        <item x="189"/>
        <item x="190"/>
        <item x="357"/>
        <item x="248"/>
        <item x="373"/>
        <item x="213"/>
        <item x="291"/>
        <item x="157"/>
        <item x="202"/>
        <item x="313"/>
        <item x="254"/>
        <item x="38"/>
        <item x="121"/>
        <item x="317"/>
        <item x="285"/>
        <item x="228"/>
        <item x="377"/>
        <item x="299"/>
        <item x="304"/>
        <item x="268"/>
        <item x="120"/>
        <item x="165"/>
        <item x="363"/>
        <item x="331"/>
        <item x="6"/>
        <item x="79"/>
        <item x="19"/>
        <item x="142"/>
        <item x="54"/>
        <item x="65"/>
        <item x="230"/>
        <item x="345"/>
        <item x="260"/>
        <item x="351"/>
        <item x="99"/>
        <item x="101"/>
        <item x="49"/>
        <item x="263"/>
        <item x="235"/>
        <item x="124"/>
        <item x="145"/>
        <item x="66"/>
        <item x="131"/>
        <item x="215"/>
        <item x="155"/>
        <item x="73"/>
        <item x="341"/>
        <item x="292"/>
        <item x="56"/>
        <item x="129"/>
        <item x="156"/>
        <item x="0"/>
        <item x="302"/>
        <item x="25"/>
        <item x="117"/>
        <item x="64"/>
        <item x="5"/>
        <item x="315"/>
        <item x="364"/>
        <item x="250"/>
        <item x="132"/>
        <item x="390"/>
        <item x="184"/>
        <item x="279"/>
        <item x="136"/>
        <item x="86"/>
        <item x="259"/>
        <item x="239"/>
        <item x="328"/>
        <item x="170"/>
        <item x="154"/>
        <item x="173"/>
        <item x="340"/>
        <item x="294"/>
        <item x="133"/>
        <item x="205"/>
        <item x="47"/>
        <item x="388"/>
        <item x="7"/>
        <item x="381"/>
        <item x="214"/>
        <item x="171"/>
        <item x="103"/>
        <item x="138"/>
        <item x="105"/>
        <item x="374"/>
        <item x="346"/>
        <item x="284"/>
        <item x="257"/>
        <item x="18"/>
        <item x="40"/>
        <item x="35"/>
        <item x="17"/>
        <item x="178"/>
        <item x="300"/>
        <item x="308"/>
        <item x="197"/>
        <item x="395"/>
        <item x="104"/>
        <item x="206"/>
        <item x="8"/>
        <item x="329"/>
        <item x="75"/>
        <item x="194"/>
        <item x="175"/>
        <item x="58"/>
        <item x="266"/>
        <item x="84"/>
        <item x="83"/>
        <item x="96"/>
        <item x="375"/>
        <item x="10"/>
        <item x="383"/>
        <item x="330"/>
        <item x="69"/>
        <item x="52"/>
        <item x="249"/>
        <item x="59"/>
        <item x="386"/>
        <item x="253"/>
        <item x="188"/>
        <item x="242"/>
        <item x="245"/>
        <item x="350"/>
        <item x="164"/>
        <item x="91"/>
        <item x="238"/>
        <item x="182"/>
        <item x="15"/>
        <item x="256"/>
        <item x="391"/>
        <item x="80"/>
        <item x="295"/>
        <item x="87"/>
        <item x="13"/>
        <item x="176"/>
        <item x="139"/>
        <item x="384"/>
        <item x="289"/>
        <item x="361"/>
        <item x="240"/>
        <item x="179"/>
        <item x="95"/>
        <item x="293"/>
        <item x="343"/>
        <item x="211"/>
        <item x="318"/>
        <item x="128"/>
        <item x="195"/>
        <item x="169"/>
        <item x="29"/>
        <item x="326"/>
        <item x="216"/>
        <item x="119"/>
        <item x="55"/>
        <item x="137"/>
        <item x="348"/>
        <item x="2"/>
        <item x="172"/>
        <item x="158"/>
        <item x="126"/>
        <item x="167"/>
        <item x="210"/>
        <item x="241"/>
        <item x="353"/>
        <item x="217"/>
        <item x="278"/>
        <item x="267"/>
        <item x="385"/>
        <item x="76"/>
        <item x="160"/>
        <item x="311"/>
        <item x="312"/>
        <item x="44"/>
        <item x="233"/>
        <item x="355"/>
        <item x="162"/>
        <item x="359"/>
        <item x="141"/>
        <item x="90"/>
        <item x="306"/>
        <item x="307"/>
        <item x="310"/>
        <item x="338"/>
        <item x="277"/>
        <item x="222"/>
        <item x="218"/>
        <item x="396"/>
        <item x="71"/>
        <item x="246"/>
        <item x="352"/>
        <item x="224"/>
        <item x="272"/>
        <item x="360"/>
        <item x="16"/>
        <item x="380"/>
        <item x="282"/>
        <item x="100"/>
        <item x="342"/>
        <item x="208"/>
        <item x="61"/>
        <item x="150"/>
        <item x="23"/>
        <item x="200"/>
        <item x="320"/>
        <item x="46"/>
        <item x="394"/>
        <item x="41"/>
        <item x="367"/>
        <item x="281"/>
        <item x="221"/>
        <item x="322"/>
        <item x="319"/>
        <item x="159"/>
        <item x="93"/>
        <item x="349"/>
        <item x="337"/>
        <item x="283"/>
        <item x="163"/>
        <item x="53"/>
        <item x="287"/>
        <item x="45"/>
        <item x="358"/>
        <item x="134"/>
        <item x="198"/>
        <item x="149"/>
        <item x="148"/>
        <item x="21"/>
        <item x="303"/>
        <item x="151"/>
        <item x="174"/>
        <item x="227"/>
        <item x="111"/>
        <item x="229"/>
        <item x="314"/>
        <item x="166"/>
        <item x="68"/>
        <item x="43"/>
        <item x="42"/>
        <item x="12"/>
        <item x="212"/>
        <item x="123"/>
        <item x="152"/>
        <item x="122"/>
        <item x="220"/>
        <item x="365"/>
        <item x="62"/>
        <item x="26"/>
        <item x="252"/>
        <item x="265"/>
        <item x="378"/>
        <item x="327"/>
        <item x="32"/>
        <item x="335"/>
        <item x="236"/>
        <item x="274"/>
        <item x="4"/>
        <item x="28"/>
        <item x="34"/>
        <item x="177"/>
        <item x="231"/>
        <item x="321"/>
        <item x="1"/>
        <item x="273"/>
        <item x="27"/>
        <item x="98"/>
        <item x="113"/>
        <item x="201"/>
        <item x="94"/>
        <item x="232"/>
        <item x="22"/>
        <item x="354"/>
        <item x="67"/>
        <item x="102"/>
        <item x="37"/>
        <item x="110"/>
        <item x="125"/>
        <item x="187"/>
        <item x="376"/>
        <item x="258"/>
        <item x="97"/>
        <item x="51"/>
        <item x="237"/>
        <item x="106"/>
        <item x="368"/>
        <item x="78"/>
        <item x="92"/>
        <item x="196"/>
        <item x="270"/>
        <item x="116"/>
        <item x="276"/>
        <item x="332"/>
        <item x="114"/>
        <item x="108"/>
        <item x="161"/>
        <item x="387"/>
        <item x="72"/>
        <item x="74"/>
        <item x="180"/>
        <item x="85"/>
        <item x="288"/>
        <item x="3"/>
        <item x="186"/>
        <item x="89"/>
        <item x="109"/>
        <item x="31"/>
        <item x="204"/>
        <item x="183"/>
        <item x="143"/>
        <item x="50"/>
        <item x="11"/>
        <item x="14"/>
        <item x="316"/>
        <item x="362"/>
        <item x="219"/>
        <item x="371"/>
        <item x="60"/>
        <item x="298"/>
        <item x="36"/>
        <item x="81"/>
        <item x="397"/>
        <item x="393"/>
        <item x="261"/>
        <item x="168"/>
        <item x="135"/>
        <item x="269"/>
        <item x="392"/>
        <item x="389"/>
        <item x="153"/>
        <item x="225"/>
        <item x="39"/>
        <item x="63"/>
        <item x="290"/>
        <item x="286"/>
        <item x="191"/>
        <item x="366"/>
        <item x="30"/>
        <item x="209"/>
        <item x="339"/>
        <item x="296"/>
        <item x="356"/>
        <item x="271"/>
        <item x="264"/>
        <item x="130"/>
        <item x="193"/>
        <item x="144"/>
        <item x="305"/>
        <item x="324"/>
        <item x="244"/>
        <item x="280"/>
        <item x="70"/>
        <item x="118"/>
        <item x="382"/>
        <item x="82"/>
        <item x="226"/>
        <item x="275"/>
        <item x="223"/>
        <item x="255"/>
        <item x="301"/>
        <item x="48"/>
        <item x="379"/>
        <item x="325"/>
        <item x="344"/>
        <item x="88"/>
        <item x="347"/>
        <item x="20"/>
        <item x="398"/>
        <item t="default"/>
      </items>
    </pivotField>
    <pivotField showAll="0"/>
    <pivotField showAll="0"/>
    <pivotField showAll="0"/>
    <pivotField showAll="0">
      <items count="10">
        <item x="3"/>
        <item x="2"/>
        <item x="1"/>
        <item x="5"/>
        <item x="6"/>
        <item x="0"/>
        <item x="7"/>
        <item x="4"/>
        <item x="8"/>
        <item t="default"/>
      </items>
    </pivotField>
    <pivotField showAll="0">
      <items count="5">
        <item x="0"/>
        <item x="2"/>
        <item h="1" x="1"/>
        <item h="1" x="3"/>
        <item t="default"/>
      </items>
    </pivotField>
    <pivotField showAll="0">
      <items count="8">
        <item x="0"/>
        <item x="1"/>
        <item x="4"/>
        <item x="2"/>
        <item x="3"/>
        <item x="5"/>
        <item x="6"/>
        <item t="default"/>
      </items>
    </pivotField>
    <pivotField showAll="0"/>
    <pivotField axis="axisRow" showAll="0">
      <items count="46">
        <item x="13"/>
        <item x="16"/>
        <item x="23"/>
        <item x="1"/>
        <item x="40"/>
        <item x="8"/>
        <item x="18"/>
        <item x="19"/>
        <item x="25"/>
        <item x="30"/>
        <item x="38"/>
        <item x="12"/>
        <item x="7"/>
        <item x="3"/>
        <item x="32"/>
        <item x="31"/>
        <item x="24"/>
        <item x="22"/>
        <item x="37"/>
        <item x="4"/>
        <item x="20"/>
        <item x="43"/>
        <item x="9"/>
        <item x="2"/>
        <item x="34"/>
        <item x="14"/>
        <item x="39"/>
        <item h="1" x="0"/>
        <item x="6"/>
        <item x="5"/>
        <item x="26"/>
        <item x="17"/>
        <item x="21"/>
        <item x="29"/>
        <item x="42"/>
        <item x="41"/>
        <item x="11"/>
        <item x="33"/>
        <item x="28"/>
        <item x="35"/>
        <item x="15"/>
        <item x="36"/>
        <item x="27"/>
        <item x="10"/>
        <item h="1" x="44"/>
        <item t="default"/>
      </items>
    </pivotField>
    <pivotField showAll="0">
      <items count="11">
        <item x="3"/>
        <item x="7"/>
        <item x="5"/>
        <item x="0"/>
        <item x="4"/>
        <item x="2"/>
        <item x="6"/>
        <item x="8"/>
        <item x="1"/>
        <item x="9"/>
        <item t="default"/>
      </items>
    </pivotField>
    <pivotField showAll="0"/>
    <pivotField showAll="0"/>
    <pivotField showAll="0"/>
    <pivotField showAll="0"/>
    <pivotField showAll="0"/>
    <pivotField showAll="0"/>
    <pivotField showAll="0"/>
  </pivotFields>
  <rowFields count="1">
    <field x="12"/>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9"/>
    </i>
    <i>
      <x v="30"/>
    </i>
    <i>
      <x v="31"/>
    </i>
    <i>
      <x v="32"/>
    </i>
    <i>
      <x v="33"/>
    </i>
    <i>
      <x v="34"/>
    </i>
    <i>
      <x v="35"/>
    </i>
    <i>
      <x v="37"/>
    </i>
    <i>
      <x v="38"/>
    </i>
    <i>
      <x v="39"/>
    </i>
    <i>
      <x v="40"/>
    </i>
    <i>
      <x v="41"/>
    </i>
    <i>
      <x v="42"/>
    </i>
    <i>
      <x v="43"/>
    </i>
    <i t="grand">
      <x/>
    </i>
  </rowItems>
  <colItems count="1">
    <i/>
  </colItems>
  <dataFields count="1">
    <dataField name="Count of name_of_victim"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881B4D-D189-4D70-BE8E-82209FDA865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21">
    <pivotField showAll="0"/>
    <pivotField showAll="0"/>
    <pivotField showAll="0"/>
    <pivotField dataField="1" showAll="0">
      <items count="3">
        <item x="0"/>
        <item x="1"/>
        <item t="default"/>
      </items>
    </pivotField>
    <pivotField showAll="0"/>
    <pivotField showAll="0"/>
    <pivotField showAll="0"/>
    <pivotField showAll="0"/>
    <pivotField axis="axisRow" showAll="0">
      <items count="10">
        <item x="3"/>
        <item x="2"/>
        <item x="1"/>
        <item x="5"/>
        <item x="6"/>
        <item x="0"/>
        <item x="7"/>
        <item x="4"/>
        <item x="8"/>
        <item t="default"/>
      </items>
    </pivotField>
    <pivotField showAll="0">
      <items count="5">
        <item x="0"/>
        <item x="2"/>
        <item h="1" x="1"/>
        <item h="1" x="3"/>
        <item t="default"/>
      </items>
    </pivotField>
    <pivotField showAll="0">
      <items count="8">
        <item x="0"/>
        <item x="1"/>
        <item x="4"/>
        <item x="2"/>
        <item x="3"/>
        <item x="5"/>
        <item x="6"/>
        <item t="default"/>
      </items>
    </pivotField>
    <pivotField showAll="0"/>
    <pivotField showAll="0"/>
    <pivotField showAll="0">
      <items count="11">
        <item x="3"/>
        <item x="7"/>
        <item x="5"/>
        <item x="0"/>
        <item x="4"/>
        <item x="2"/>
        <item x="6"/>
        <item x="8"/>
        <item x="1"/>
        <item x="9"/>
        <item t="default"/>
      </items>
    </pivotField>
    <pivotField showAll="0"/>
    <pivotField showAll="0"/>
    <pivotField showAll="0"/>
    <pivotField showAll="0"/>
    <pivotField showAll="0"/>
    <pivotField showAll="0"/>
    <pivotField showAll="0"/>
  </pivotFields>
  <rowFields count="1">
    <field x="8"/>
  </rowFields>
  <rowItems count="9">
    <i>
      <x/>
    </i>
    <i>
      <x v="1"/>
    </i>
    <i>
      <x v="2"/>
    </i>
    <i>
      <x v="3"/>
    </i>
    <i>
      <x v="4"/>
    </i>
    <i>
      <x v="5"/>
    </i>
    <i>
      <x v="6"/>
    </i>
    <i>
      <x v="7"/>
    </i>
    <i t="grand">
      <x/>
    </i>
  </rowItems>
  <colItems count="1">
    <i/>
  </colItems>
  <dataFields count="1">
    <dataField name="Count of type_of_murder" fld="3" subtotal="count"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0" format="7">
      <pivotArea type="data" outline="0" fieldPosition="0">
        <references count="2">
          <reference field="4294967294" count="1" selected="0">
            <x v="0"/>
          </reference>
          <reference field="8" count="1" selected="0">
            <x v="6"/>
          </reference>
        </references>
      </pivotArea>
    </chartFormat>
    <chartFormat chart="0" format="8">
      <pivotArea type="data" outline="0" fieldPosition="0">
        <references count="2">
          <reference field="4294967294" count="1" selected="0">
            <x v="0"/>
          </reference>
          <reference field="8" count="1" selected="0">
            <x v="7"/>
          </reference>
        </references>
      </pivotArea>
    </chartFormat>
    <chartFormat chart="0" format="9">
      <pivotArea type="data" outline="0" fieldPosition="0">
        <references count="2">
          <reference field="4294967294" count="1" selected="0">
            <x v="0"/>
          </reference>
          <reference field="8" count="1" selected="0">
            <x v="8"/>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8" count="1" selected="0">
            <x v="0"/>
          </reference>
        </references>
      </pivotArea>
    </chartFormat>
    <chartFormat chart="3" format="22">
      <pivotArea type="data" outline="0" fieldPosition="0">
        <references count="2">
          <reference field="4294967294" count="1" selected="0">
            <x v="0"/>
          </reference>
          <reference field="8" count="1" selected="0">
            <x v="1"/>
          </reference>
        </references>
      </pivotArea>
    </chartFormat>
    <chartFormat chart="3" format="23">
      <pivotArea type="data" outline="0" fieldPosition="0">
        <references count="2">
          <reference field="4294967294" count="1" selected="0">
            <x v="0"/>
          </reference>
          <reference field="8" count="1" selected="0">
            <x v="2"/>
          </reference>
        </references>
      </pivotArea>
    </chartFormat>
    <chartFormat chart="3" format="24">
      <pivotArea type="data" outline="0" fieldPosition="0">
        <references count="2">
          <reference field="4294967294" count="1" selected="0">
            <x v="0"/>
          </reference>
          <reference field="8" count="1" selected="0">
            <x v="3"/>
          </reference>
        </references>
      </pivotArea>
    </chartFormat>
    <chartFormat chart="3" format="25">
      <pivotArea type="data" outline="0" fieldPosition="0">
        <references count="2">
          <reference field="4294967294" count="1" selected="0">
            <x v="0"/>
          </reference>
          <reference field="8" count="1" selected="0">
            <x v="4"/>
          </reference>
        </references>
      </pivotArea>
    </chartFormat>
    <chartFormat chart="3" format="26">
      <pivotArea type="data" outline="0" fieldPosition="0">
        <references count="2">
          <reference field="4294967294" count="1" selected="0">
            <x v="0"/>
          </reference>
          <reference field="8" count="1" selected="0">
            <x v="5"/>
          </reference>
        </references>
      </pivotArea>
    </chartFormat>
    <chartFormat chart="3" format="27">
      <pivotArea type="data" outline="0" fieldPosition="0">
        <references count="2">
          <reference field="4294967294" count="1" selected="0">
            <x v="0"/>
          </reference>
          <reference field="8" count="1" selected="0">
            <x v="6"/>
          </reference>
        </references>
      </pivotArea>
    </chartFormat>
    <chartFormat chart="3" format="28">
      <pivotArea type="data" outline="0" fieldPosition="0">
        <references count="2">
          <reference field="4294967294" count="1" selected="0">
            <x v="0"/>
          </reference>
          <reference field="8" count="1" selected="0">
            <x v="7"/>
          </reference>
        </references>
      </pivotArea>
    </chartFormat>
    <chartFormat chart="3" format="29">
      <pivotArea type="data" outline="0" fieldPosition="0">
        <references count="2">
          <reference field="4294967294" count="1" selected="0">
            <x v="0"/>
          </reference>
          <reference field="8"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F88CB9-ECEC-4545-8430-E5F39F63728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13" firstHeaderRow="1" firstDataRow="1" firstDataCol="1"/>
  <pivotFields count="25">
    <pivotField showAll="0"/>
    <pivotField showAll="0"/>
    <pivotField showAll="0">
      <items count="420">
        <item x="256"/>
        <item x="310"/>
        <item x="257"/>
        <item x="258"/>
        <item x="171"/>
        <item x="97"/>
        <item x="260"/>
        <item x="3"/>
        <item x="231"/>
        <item x="182"/>
        <item x="206"/>
        <item x="248"/>
        <item x="159"/>
        <item x="394"/>
        <item x="232"/>
        <item x="261"/>
        <item x="5"/>
        <item x="259"/>
        <item x="395"/>
        <item x="170"/>
        <item x="311"/>
        <item x="387"/>
        <item x="148"/>
        <item x="74"/>
        <item x="312"/>
        <item x="98"/>
        <item x="233"/>
        <item x="160"/>
        <item x="224"/>
        <item x="234"/>
        <item x="235"/>
        <item x="32"/>
        <item x="161"/>
        <item x="99"/>
        <item x="13"/>
        <item x="12"/>
        <item x="188"/>
        <item x="236"/>
        <item x="263"/>
        <item x="247"/>
        <item x="149"/>
        <item x="199"/>
        <item x="264"/>
        <item x="253"/>
        <item x="162"/>
        <item x="150"/>
        <item x="375"/>
        <item x="265"/>
        <item x="376"/>
        <item x="266"/>
        <item x="100"/>
        <item x="313"/>
        <item x="57"/>
        <item x="314"/>
        <item x="267"/>
        <item x="101"/>
        <item x="369"/>
        <item x="388"/>
        <item x="315"/>
        <item x="307"/>
        <item x="268"/>
        <item x="207"/>
        <item x="389"/>
        <item x="396"/>
        <item x="269"/>
        <item x="52"/>
        <item x="316"/>
        <item x="61"/>
        <item x="102"/>
        <item x="179"/>
        <item x="103"/>
        <item x="14"/>
        <item x="104"/>
        <item x="377"/>
        <item x="237"/>
        <item x="105"/>
        <item x="62"/>
        <item x="106"/>
        <item x="53"/>
        <item x="15"/>
        <item x="200"/>
        <item x="183"/>
        <item x="132"/>
        <item x="75"/>
        <item x="317"/>
        <item x="96"/>
        <item x="318"/>
        <item x="76"/>
        <item x="238"/>
        <item x="270"/>
        <item x="239"/>
        <item x="181"/>
        <item x="370"/>
        <item x="271"/>
        <item x="33"/>
        <item x="272"/>
        <item x="249"/>
        <item x="230"/>
        <item x="133"/>
        <item x="77"/>
        <item x="26"/>
        <item x="34"/>
        <item x="240"/>
        <item x="163"/>
        <item x="27"/>
        <item x="208"/>
        <item x="88"/>
        <item x="400"/>
        <item x="203"/>
        <item x="320"/>
        <item x="16"/>
        <item x="209"/>
        <item x="151"/>
        <item x="378"/>
        <item x="379"/>
        <item x="319"/>
        <item x="254"/>
        <item x="359"/>
        <item x="51"/>
        <item x="273"/>
        <item x="416"/>
        <item x="44"/>
        <item x="6"/>
        <item x="219"/>
        <item x="152"/>
        <item x="406"/>
        <item x="367"/>
        <item x="321"/>
        <item x="186"/>
        <item x="17"/>
        <item x="241"/>
        <item x="322"/>
        <item x="380"/>
        <item x="73"/>
        <item x="18"/>
        <item x="401"/>
        <item x="323"/>
        <item x="371"/>
        <item x="324"/>
        <item x="87"/>
        <item x="250"/>
        <item x="201"/>
        <item x="45"/>
        <item x="372"/>
        <item x="164"/>
        <item x="58"/>
        <item x="172"/>
        <item x="417"/>
        <item x="360"/>
        <item x="153"/>
        <item x="325"/>
        <item x="107"/>
        <item x="46"/>
        <item x="326"/>
        <item x="274"/>
        <item x="134"/>
        <item x="361"/>
        <item x="275"/>
        <item x="220"/>
        <item x="108"/>
        <item x="43"/>
        <item x="89"/>
        <item x="78"/>
        <item x="407"/>
        <item x="381"/>
        <item x="79"/>
        <item x="173"/>
        <item x="7"/>
        <item x="398"/>
        <item x="109"/>
        <item x="135"/>
        <item x="80"/>
        <item x="210"/>
        <item x="204"/>
        <item x="0"/>
        <item x="327"/>
        <item x="63"/>
        <item x="414"/>
        <item x="408"/>
        <item x="136"/>
        <item x="403"/>
        <item x="373"/>
        <item x="211"/>
        <item x="399"/>
        <item x="374"/>
        <item x="328"/>
        <item x="329"/>
        <item x="47"/>
        <item x="409"/>
        <item x="276"/>
        <item x="184"/>
        <item x="330"/>
        <item x="331"/>
        <item x="382"/>
        <item x="137"/>
        <item x="332"/>
        <item x="189"/>
        <item x="390"/>
        <item x="225"/>
        <item x="174"/>
        <item x="226"/>
        <item x="185"/>
        <item x="368"/>
        <item x="277"/>
        <item x="391"/>
        <item x="35"/>
        <item x="402"/>
        <item x="130"/>
        <item x="190"/>
        <item x="278"/>
        <item x="165"/>
        <item x="20"/>
        <item x="218"/>
        <item x="138"/>
        <item x="279"/>
        <item x="36"/>
        <item x="178"/>
        <item x="59"/>
        <item x="191"/>
        <item x="383"/>
        <item x="280"/>
        <item x="333"/>
        <item x="252"/>
        <item x="212"/>
        <item x="37"/>
        <item x="334"/>
        <item x="281"/>
        <item x="335"/>
        <item x="110"/>
        <item x="262"/>
        <item x="336"/>
        <item x="251"/>
        <item x="21"/>
        <item x="338"/>
        <item x="111"/>
        <item x="337"/>
        <item x="139"/>
        <item x="282"/>
        <item x="246"/>
        <item x="180"/>
        <item x="404"/>
        <item x="140"/>
        <item x="64"/>
        <item x="341"/>
        <item x="112"/>
        <item x="155"/>
        <item x="192"/>
        <item x="305"/>
        <item x="342"/>
        <item x="340"/>
        <item x="113"/>
        <item x="38"/>
        <item x="358"/>
        <item x="193"/>
        <item x="187"/>
        <item x="65"/>
        <item x="284"/>
        <item x="66"/>
        <item x="309"/>
        <item x="285"/>
        <item x="60"/>
        <item x="114"/>
        <item x="344"/>
        <item x="115"/>
        <item x="175"/>
        <item x="54"/>
        <item x="116"/>
        <item x="343"/>
        <item x="81"/>
        <item x="67"/>
        <item x="147"/>
        <item x="23"/>
        <item x="28"/>
        <item x="411"/>
        <item x="345"/>
        <item x="82"/>
        <item x="117"/>
        <item x="118"/>
        <item x="24"/>
        <item x="55"/>
        <item x="202"/>
        <item x="68"/>
        <item x="346"/>
        <item x="119"/>
        <item x="286"/>
        <item x="347"/>
        <item x="120"/>
        <item x="392"/>
        <item x="348"/>
        <item x="287"/>
        <item x="288"/>
        <item x="166"/>
        <item x="8"/>
        <item x="350"/>
        <item x="413"/>
        <item x="289"/>
        <item x="29"/>
        <item x="306"/>
        <item x="349"/>
        <item x="90"/>
        <item x="40"/>
        <item x="22"/>
        <item x="154"/>
        <item x="290"/>
        <item x="242"/>
        <item x="141"/>
        <item x="194"/>
        <item x="39"/>
        <item x="351"/>
        <item x="142"/>
        <item x="405"/>
        <item x="352"/>
        <item x="121"/>
        <item x="353"/>
        <item x="221"/>
        <item x="122"/>
        <item x="410"/>
        <item x="222"/>
        <item x="291"/>
        <item x="308"/>
        <item x="198"/>
        <item x="195"/>
        <item x="9"/>
        <item x="292"/>
        <item x="364"/>
        <item x="196"/>
        <item x="30"/>
        <item x="293"/>
        <item x="83"/>
        <item x="91"/>
        <item x="69"/>
        <item x="31"/>
        <item x="123"/>
        <item x="2"/>
        <item x="339"/>
        <item x="362"/>
        <item x="384"/>
        <item x="294"/>
        <item x="295"/>
        <item x="1"/>
        <item x="213"/>
        <item x="296"/>
        <item x="42"/>
        <item x="243"/>
        <item x="354"/>
        <item x="125"/>
        <item x="124"/>
        <item x="143"/>
        <item x="283"/>
        <item x="48"/>
        <item x="355"/>
        <item x="227"/>
        <item x="156"/>
        <item x="84"/>
        <item x="297"/>
        <item x="10"/>
        <item x="365"/>
        <item x="70"/>
        <item x="214"/>
        <item x="167"/>
        <item x="131"/>
        <item x="228"/>
        <item x="393"/>
        <item x="86"/>
        <item x="144"/>
        <item x="299"/>
        <item x="298"/>
        <item x="356"/>
        <item x="300"/>
        <item x="49"/>
        <item x="176"/>
        <item x="215"/>
        <item x="216"/>
        <item x="229"/>
        <item x="301"/>
        <item x="71"/>
        <item x="126"/>
        <item x="302"/>
        <item x="168"/>
        <item x="92"/>
        <item x="366"/>
        <item x="244"/>
        <item x="169"/>
        <item x="397"/>
        <item x="385"/>
        <item x="255"/>
        <item x="93"/>
        <item x="157"/>
        <item x="412"/>
        <item x="223"/>
        <item x="197"/>
        <item x="145"/>
        <item x="146"/>
        <item x="41"/>
        <item x="56"/>
        <item x="19"/>
        <item x="72"/>
        <item x="415"/>
        <item x="177"/>
        <item x="418"/>
        <item x="94"/>
        <item x="127"/>
        <item x="386"/>
        <item x="363"/>
        <item x="128"/>
        <item x="357"/>
        <item x="217"/>
        <item x="50"/>
        <item x="205"/>
        <item x="129"/>
        <item x="303"/>
        <item x="158"/>
        <item x="245"/>
        <item x="95"/>
        <item x="25"/>
        <item x="11"/>
        <item x="85"/>
        <item x="304"/>
        <item x="4"/>
        <item t="default"/>
      </items>
    </pivotField>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8">
        <item x="1"/>
        <item x="2"/>
        <item x="3"/>
        <item x="4"/>
        <item x="6"/>
        <item x="7"/>
        <item x="8"/>
        <item x="9"/>
        <item x="11"/>
        <item x="12"/>
        <item x="13"/>
        <item x="15"/>
        <item x="16"/>
        <item x="17"/>
        <item x="18"/>
        <item x="19"/>
        <item x="20"/>
        <item x="21"/>
        <item x="22"/>
        <item x="23"/>
        <item x="24"/>
        <item x="25"/>
        <item x="26"/>
        <item x="27"/>
        <item x="28"/>
        <item x="10"/>
        <item x="29"/>
        <item x="30"/>
        <item x="31"/>
        <item x="32"/>
        <item x="33"/>
        <item x="14"/>
        <item x="34"/>
        <item x="35"/>
        <item x="0"/>
        <item x="36"/>
        <item x="37"/>
        <item x="38"/>
        <item x="39"/>
        <item x="40"/>
        <item x="41"/>
        <item x="42"/>
        <item x="43"/>
        <item x="44"/>
        <item x="5"/>
        <item x="45"/>
        <item x="46"/>
        <item t="default"/>
      </items>
    </pivotField>
    <pivotField axis="axisRow" showAll="0">
      <items count="10">
        <item x="6"/>
        <item x="7"/>
        <item x="3"/>
        <item x="8"/>
        <item x="4"/>
        <item x="5"/>
        <item x="1"/>
        <item h="1"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1"/>
  </rowFields>
  <rowItems count="9">
    <i>
      <x/>
    </i>
    <i>
      <x v="1"/>
    </i>
    <i>
      <x v="2"/>
    </i>
    <i>
      <x v="3"/>
    </i>
    <i>
      <x v="4"/>
    </i>
    <i>
      <x v="5"/>
    </i>
    <i>
      <x v="6"/>
    </i>
    <i>
      <x v="8"/>
    </i>
    <i t="grand">
      <x/>
    </i>
  </rowItems>
  <colItems count="1">
    <i/>
  </colItems>
  <dataFields count="1">
    <dataField name="Count of type_of_murder" fld="3" subtotal="count" baseField="0" baseItem="0"/>
  </dataFields>
  <chartFormats count="3">
    <chartFormat chart="4" format="55" series="1">
      <pivotArea type="data" outline="0" fieldPosition="0">
        <references count="1">
          <reference field="4294967294" count="1" selected="0">
            <x v="0"/>
          </reference>
        </references>
      </pivotArea>
    </chartFormat>
    <chartFormat chart="1" format="61" series="1">
      <pivotArea type="data" outline="0" fieldPosition="0">
        <references count="1">
          <reference field="4294967294" count="1" selected="0">
            <x v="0"/>
          </reference>
        </references>
      </pivotArea>
    </chartFormat>
    <chartFormat chart="0" format="5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11D843-D097-44C8-932C-D5BC75F3C60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5">
    <pivotField dataField="1" showAll="0"/>
    <pivotField showAll="0"/>
    <pivotField showAll="0">
      <items count="420">
        <item x="256"/>
        <item x="310"/>
        <item x="257"/>
        <item x="258"/>
        <item x="171"/>
        <item x="97"/>
        <item x="260"/>
        <item x="3"/>
        <item x="231"/>
        <item x="182"/>
        <item x="206"/>
        <item x="248"/>
        <item x="159"/>
        <item x="394"/>
        <item x="232"/>
        <item x="261"/>
        <item x="5"/>
        <item x="259"/>
        <item x="395"/>
        <item x="170"/>
        <item x="311"/>
        <item x="387"/>
        <item x="148"/>
        <item x="74"/>
        <item x="312"/>
        <item x="98"/>
        <item x="233"/>
        <item x="160"/>
        <item x="224"/>
        <item x="234"/>
        <item x="235"/>
        <item x="32"/>
        <item x="161"/>
        <item x="99"/>
        <item x="13"/>
        <item x="12"/>
        <item x="188"/>
        <item x="236"/>
        <item x="263"/>
        <item x="247"/>
        <item x="149"/>
        <item x="199"/>
        <item x="264"/>
        <item x="253"/>
        <item x="162"/>
        <item x="150"/>
        <item x="375"/>
        <item x="265"/>
        <item x="376"/>
        <item x="266"/>
        <item x="100"/>
        <item x="313"/>
        <item x="57"/>
        <item x="314"/>
        <item x="267"/>
        <item x="101"/>
        <item x="369"/>
        <item x="388"/>
        <item x="315"/>
        <item x="307"/>
        <item x="268"/>
        <item x="207"/>
        <item x="389"/>
        <item x="396"/>
        <item x="269"/>
        <item x="52"/>
        <item x="316"/>
        <item x="61"/>
        <item x="102"/>
        <item x="179"/>
        <item x="103"/>
        <item x="14"/>
        <item x="104"/>
        <item x="377"/>
        <item x="237"/>
        <item x="105"/>
        <item x="62"/>
        <item x="106"/>
        <item x="53"/>
        <item x="15"/>
        <item x="200"/>
        <item x="183"/>
        <item x="132"/>
        <item x="75"/>
        <item x="317"/>
        <item x="96"/>
        <item x="318"/>
        <item x="76"/>
        <item x="238"/>
        <item x="270"/>
        <item x="239"/>
        <item x="181"/>
        <item x="370"/>
        <item x="271"/>
        <item x="33"/>
        <item x="272"/>
        <item x="249"/>
        <item x="230"/>
        <item x="133"/>
        <item x="77"/>
        <item x="26"/>
        <item x="34"/>
        <item x="240"/>
        <item x="163"/>
        <item x="27"/>
        <item x="208"/>
        <item x="88"/>
        <item x="400"/>
        <item x="203"/>
        <item x="320"/>
        <item x="16"/>
        <item x="209"/>
        <item x="151"/>
        <item x="378"/>
        <item x="379"/>
        <item x="319"/>
        <item x="254"/>
        <item x="359"/>
        <item x="51"/>
        <item x="273"/>
        <item x="416"/>
        <item x="44"/>
        <item x="6"/>
        <item x="219"/>
        <item x="152"/>
        <item x="406"/>
        <item x="367"/>
        <item x="321"/>
        <item x="186"/>
        <item x="17"/>
        <item x="241"/>
        <item x="322"/>
        <item x="380"/>
        <item x="73"/>
        <item x="18"/>
        <item x="401"/>
        <item x="323"/>
        <item x="371"/>
        <item x="324"/>
        <item x="87"/>
        <item x="250"/>
        <item x="201"/>
        <item x="45"/>
        <item x="372"/>
        <item x="164"/>
        <item x="58"/>
        <item x="172"/>
        <item x="417"/>
        <item x="360"/>
        <item x="153"/>
        <item x="325"/>
        <item x="107"/>
        <item x="46"/>
        <item x="326"/>
        <item x="274"/>
        <item x="134"/>
        <item x="361"/>
        <item x="275"/>
        <item x="220"/>
        <item x="108"/>
        <item x="43"/>
        <item x="89"/>
        <item x="78"/>
        <item x="407"/>
        <item x="381"/>
        <item x="79"/>
        <item x="173"/>
        <item x="7"/>
        <item x="398"/>
        <item x="109"/>
        <item x="135"/>
        <item x="80"/>
        <item x="210"/>
        <item x="204"/>
        <item x="0"/>
        <item x="327"/>
        <item x="63"/>
        <item x="414"/>
        <item x="408"/>
        <item x="136"/>
        <item x="403"/>
        <item x="373"/>
        <item x="211"/>
        <item x="399"/>
        <item x="374"/>
        <item x="328"/>
        <item x="329"/>
        <item x="47"/>
        <item x="409"/>
        <item x="276"/>
        <item x="184"/>
        <item x="330"/>
        <item x="331"/>
        <item x="382"/>
        <item x="137"/>
        <item x="332"/>
        <item x="189"/>
        <item x="390"/>
        <item x="225"/>
        <item x="174"/>
        <item x="226"/>
        <item x="185"/>
        <item x="368"/>
        <item x="277"/>
        <item x="391"/>
        <item x="35"/>
        <item x="402"/>
        <item x="130"/>
        <item x="190"/>
        <item x="278"/>
        <item x="165"/>
        <item x="20"/>
        <item x="218"/>
        <item x="138"/>
        <item x="279"/>
        <item x="36"/>
        <item x="178"/>
        <item x="59"/>
        <item x="191"/>
        <item x="383"/>
        <item x="280"/>
        <item x="333"/>
        <item x="252"/>
        <item x="212"/>
        <item x="37"/>
        <item x="334"/>
        <item x="281"/>
        <item x="335"/>
        <item x="110"/>
        <item x="262"/>
        <item x="336"/>
        <item x="251"/>
        <item x="21"/>
        <item x="338"/>
        <item x="111"/>
        <item x="337"/>
        <item x="139"/>
        <item x="282"/>
        <item x="246"/>
        <item x="180"/>
        <item x="404"/>
        <item x="140"/>
        <item x="64"/>
        <item x="341"/>
        <item x="112"/>
        <item x="155"/>
        <item x="192"/>
        <item x="305"/>
        <item x="342"/>
        <item x="340"/>
        <item x="113"/>
        <item x="38"/>
        <item x="358"/>
        <item x="193"/>
        <item x="187"/>
        <item x="65"/>
        <item x="284"/>
        <item x="66"/>
        <item x="309"/>
        <item x="285"/>
        <item x="60"/>
        <item x="114"/>
        <item x="344"/>
        <item x="115"/>
        <item x="175"/>
        <item x="54"/>
        <item x="116"/>
        <item x="343"/>
        <item x="81"/>
        <item x="67"/>
        <item x="147"/>
        <item x="23"/>
        <item x="28"/>
        <item x="411"/>
        <item x="345"/>
        <item x="82"/>
        <item x="117"/>
        <item x="118"/>
        <item x="24"/>
        <item x="55"/>
        <item x="202"/>
        <item x="68"/>
        <item x="346"/>
        <item x="119"/>
        <item x="286"/>
        <item x="347"/>
        <item x="120"/>
        <item x="392"/>
        <item x="348"/>
        <item x="287"/>
        <item x="288"/>
        <item x="166"/>
        <item x="8"/>
        <item x="350"/>
        <item x="413"/>
        <item x="289"/>
        <item x="29"/>
        <item x="306"/>
        <item x="349"/>
        <item x="90"/>
        <item x="40"/>
        <item x="22"/>
        <item x="154"/>
        <item x="290"/>
        <item x="242"/>
        <item x="141"/>
        <item x="194"/>
        <item x="39"/>
        <item x="351"/>
        <item x="142"/>
        <item x="405"/>
        <item x="352"/>
        <item x="121"/>
        <item x="353"/>
        <item x="221"/>
        <item x="122"/>
        <item x="410"/>
        <item x="222"/>
        <item x="291"/>
        <item x="308"/>
        <item x="198"/>
        <item x="195"/>
        <item x="9"/>
        <item x="292"/>
        <item x="364"/>
        <item x="196"/>
        <item x="30"/>
        <item x="293"/>
        <item x="83"/>
        <item x="91"/>
        <item x="69"/>
        <item x="31"/>
        <item x="123"/>
        <item x="2"/>
        <item x="339"/>
        <item x="362"/>
        <item x="384"/>
        <item x="294"/>
        <item x="295"/>
        <item x="1"/>
        <item x="213"/>
        <item x="296"/>
        <item x="42"/>
        <item x="243"/>
        <item x="354"/>
        <item x="125"/>
        <item x="124"/>
        <item x="143"/>
        <item x="283"/>
        <item x="48"/>
        <item x="355"/>
        <item x="227"/>
        <item x="156"/>
        <item x="84"/>
        <item x="297"/>
        <item x="10"/>
        <item x="365"/>
        <item x="70"/>
        <item x="214"/>
        <item x="167"/>
        <item x="131"/>
        <item x="228"/>
        <item x="393"/>
        <item x="86"/>
        <item x="144"/>
        <item x="299"/>
        <item x="298"/>
        <item x="356"/>
        <item x="300"/>
        <item x="49"/>
        <item x="176"/>
        <item x="215"/>
        <item x="216"/>
        <item x="229"/>
        <item x="301"/>
        <item x="71"/>
        <item x="126"/>
        <item x="302"/>
        <item x="168"/>
        <item x="92"/>
        <item x="366"/>
        <item x="244"/>
        <item x="169"/>
        <item x="397"/>
        <item x="385"/>
        <item x="255"/>
        <item x="93"/>
        <item x="157"/>
        <item x="412"/>
        <item x="223"/>
        <item x="197"/>
        <item x="145"/>
        <item x="146"/>
        <item x="41"/>
        <item x="56"/>
        <item x="19"/>
        <item x="72"/>
        <item x="415"/>
        <item x="177"/>
        <item x="418"/>
        <item x="94"/>
        <item x="127"/>
        <item x="386"/>
        <item x="363"/>
        <item x="128"/>
        <item x="357"/>
        <item x="217"/>
        <item x="50"/>
        <item x="205"/>
        <item x="129"/>
        <item x="303"/>
        <item x="158"/>
        <item x="245"/>
        <item x="95"/>
        <item x="25"/>
        <item x="11"/>
        <item x="85"/>
        <item x="304"/>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h="1" x="1"/>
        <item t="default"/>
      </items>
    </pivotField>
    <pivotField showAll="0"/>
    <pivotField showAll="0"/>
    <pivotField showAll="0"/>
    <pivotField showAll="0">
      <items count="48">
        <item x="1"/>
        <item x="2"/>
        <item x="3"/>
        <item x="4"/>
        <item x="6"/>
        <item x="7"/>
        <item x="8"/>
        <item x="9"/>
        <item x="11"/>
        <item x="12"/>
        <item x="13"/>
        <item x="15"/>
        <item x="16"/>
        <item x="17"/>
        <item x="18"/>
        <item x="19"/>
        <item x="20"/>
        <item x="21"/>
        <item x="22"/>
        <item x="23"/>
        <item x="24"/>
        <item x="25"/>
        <item x="26"/>
        <item x="27"/>
        <item x="28"/>
        <item x="10"/>
        <item x="29"/>
        <item x="30"/>
        <item x="31"/>
        <item x="32"/>
        <item x="33"/>
        <item x="14"/>
        <item x="34"/>
        <item x="35"/>
        <item x="0"/>
        <item x="36"/>
        <item x="37"/>
        <item x="38"/>
        <item x="39"/>
        <item x="40"/>
        <item x="41"/>
        <item x="42"/>
        <item x="43"/>
        <item x="44"/>
        <item x="5"/>
        <item x="45"/>
        <item x="46"/>
        <item t="default"/>
      </items>
    </pivotField>
    <pivotField showAll="0">
      <items count="10">
        <item x="6"/>
        <item x="7"/>
        <item x="3"/>
        <item x="8"/>
        <item x="4"/>
        <item x="5"/>
        <item x="1"/>
        <item h="1"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6"/>
  </rowFields>
  <rowItems count="4">
    <i>
      <x/>
    </i>
    <i>
      <x v="1"/>
    </i>
    <i>
      <x v="2"/>
    </i>
    <i t="grand">
      <x/>
    </i>
  </rowItems>
  <colItems count="1">
    <i/>
  </colItems>
  <dataFields count="1">
    <dataField name="Count of Author Name"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6" count="1" selected="0">
            <x v="0"/>
          </reference>
        </references>
      </pivotArea>
    </chartFormat>
    <chartFormat chart="3" format="10">
      <pivotArea type="data" outline="0" fieldPosition="0">
        <references count="2">
          <reference field="4294967294" count="1" selected="0">
            <x v="0"/>
          </reference>
          <reference field="16" count="1" selected="0">
            <x v="1"/>
          </reference>
        </references>
      </pivotArea>
    </chartFormat>
    <chartFormat chart="3" format="11">
      <pivotArea type="data" outline="0" fieldPosition="0">
        <references count="2">
          <reference field="4294967294" count="1" selected="0">
            <x v="0"/>
          </reference>
          <reference field="16"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6" count="1" selected="0">
            <x v="0"/>
          </reference>
        </references>
      </pivotArea>
    </chartFormat>
    <chartFormat chart="4" format="10">
      <pivotArea type="data" outline="0" fieldPosition="0">
        <references count="2">
          <reference field="4294967294" count="1" selected="0">
            <x v="0"/>
          </reference>
          <reference field="16" count="1" selected="0">
            <x v="1"/>
          </reference>
        </references>
      </pivotArea>
    </chartFormat>
    <chartFormat chart="4"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43C8DF-A349-4C90-A3C5-8EB8AE5A5A22}"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3" firstHeaderRow="1" firstDataRow="1" firstDataCol="1"/>
  <pivotFields count="25">
    <pivotField showAll="0"/>
    <pivotField showAll="0"/>
    <pivotField axis="axisRow" showAll="0">
      <items count="420">
        <item x="256"/>
        <item x="310"/>
        <item x="257"/>
        <item x="258"/>
        <item x="171"/>
        <item x="97"/>
        <item x="260"/>
        <item x="3"/>
        <item x="231"/>
        <item x="182"/>
        <item x="206"/>
        <item x="248"/>
        <item x="159"/>
        <item x="394"/>
        <item x="232"/>
        <item x="261"/>
        <item x="5"/>
        <item x="259"/>
        <item x="395"/>
        <item x="170"/>
        <item x="311"/>
        <item x="387"/>
        <item x="148"/>
        <item x="74"/>
        <item x="312"/>
        <item x="98"/>
        <item x="233"/>
        <item x="160"/>
        <item x="224"/>
        <item x="234"/>
        <item x="235"/>
        <item x="32"/>
        <item x="161"/>
        <item x="99"/>
        <item x="13"/>
        <item x="12"/>
        <item x="188"/>
        <item x="236"/>
        <item x="263"/>
        <item x="247"/>
        <item x="149"/>
        <item x="199"/>
        <item x="264"/>
        <item x="253"/>
        <item x="162"/>
        <item x="150"/>
        <item x="375"/>
        <item x="265"/>
        <item x="376"/>
        <item x="266"/>
        <item x="100"/>
        <item x="313"/>
        <item x="57"/>
        <item x="314"/>
        <item x="267"/>
        <item x="101"/>
        <item x="369"/>
        <item x="388"/>
        <item x="315"/>
        <item x="307"/>
        <item x="268"/>
        <item x="207"/>
        <item x="389"/>
        <item x="396"/>
        <item x="269"/>
        <item x="52"/>
        <item x="316"/>
        <item x="61"/>
        <item x="102"/>
        <item x="179"/>
        <item x="103"/>
        <item x="14"/>
        <item x="104"/>
        <item x="377"/>
        <item x="237"/>
        <item x="105"/>
        <item x="62"/>
        <item x="106"/>
        <item x="53"/>
        <item x="15"/>
        <item x="200"/>
        <item x="183"/>
        <item x="132"/>
        <item x="75"/>
        <item x="317"/>
        <item x="96"/>
        <item x="318"/>
        <item x="76"/>
        <item x="238"/>
        <item x="270"/>
        <item x="239"/>
        <item x="181"/>
        <item x="370"/>
        <item x="271"/>
        <item x="33"/>
        <item x="272"/>
        <item x="249"/>
        <item x="230"/>
        <item x="133"/>
        <item x="77"/>
        <item x="26"/>
        <item x="34"/>
        <item x="240"/>
        <item x="163"/>
        <item x="27"/>
        <item x="208"/>
        <item x="88"/>
        <item x="400"/>
        <item x="203"/>
        <item x="320"/>
        <item x="16"/>
        <item x="209"/>
        <item x="151"/>
        <item x="378"/>
        <item x="379"/>
        <item x="319"/>
        <item x="254"/>
        <item x="359"/>
        <item x="51"/>
        <item x="273"/>
        <item x="416"/>
        <item x="44"/>
        <item x="6"/>
        <item x="219"/>
        <item x="152"/>
        <item x="406"/>
        <item x="367"/>
        <item x="321"/>
        <item x="186"/>
        <item x="17"/>
        <item x="241"/>
        <item x="322"/>
        <item x="380"/>
        <item x="73"/>
        <item x="18"/>
        <item x="401"/>
        <item x="323"/>
        <item x="371"/>
        <item x="324"/>
        <item x="87"/>
        <item x="250"/>
        <item x="201"/>
        <item x="45"/>
        <item x="372"/>
        <item x="164"/>
        <item x="58"/>
        <item x="172"/>
        <item x="417"/>
        <item x="360"/>
        <item x="153"/>
        <item x="325"/>
        <item x="107"/>
        <item x="46"/>
        <item x="326"/>
        <item x="274"/>
        <item x="134"/>
        <item x="361"/>
        <item x="275"/>
        <item x="220"/>
        <item x="108"/>
        <item x="43"/>
        <item x="89"/>
        <item x="78"/>
        <item x="407"/>
        <item x="381"/>
        <item x="79"/>
        <item x="173"/>
        <item x="7"/>
        <item x="398"/>
        <item x="109"/>
        <item x="135"/>
        <item x="80"/>
        <item x="210"/>
        <item x="204"/>
        <item x="0"/>
        <item x="327"/>
        <item x="63"/>
        <item x="414"/>
        <item x="408"/>
        <item x="136"/>
        <item x="403"/>
        <item x="373"/>
        <item x="211"/>
        <item x="399"/>
        <item x="374"/>
        <item x="328"/>
        <item x="329"/>
        <item x="47"/>
        <item x="409"/>
        <item x="276"/>
        <item x="184"/>
        <item x="330"/>
        <item x="331"/>
        <item x="382"/>
        <item x="137"/>
        <item x="332"/>
        <item x="189"/>
        <item x="390"/>
        <item x="225"/>
        <item x="174"/>
        <item x="226"/>
        <item x="185"/>
        <item x="368"/>
        <item x="277"/>
        <item x="391"/>
        <item x="35"/>
        <item x="402"/>
        <item x="130"/>
        <item x="190"/>
        <item x="278"/>
        <item x="165"/>
        <item x="20"/>
        <item x="218"/>
        <item x="138"/>
        <item x="279"/>
        <item x="36"/>
        <item x="178"/>
        <item x="59"/>
        <item x="191"/>
        <item x="383"/>
        <item x="280"/>
        <item x="333"/>
        <item x="252"/>
        <item x="212"/>
        <item x="37"/>
        <item x="334"/>
        <item x="281"/>
        <item x="335"/>
        <item x="110"/>
        <item x="262"/>
        <item x="336"/>
        <item x="251"/>
        <item x="21"/>
        <item x="338"/>
        <item x="111"/>
        <item x="337"/>
        <item x="139"/>
        <item x="282"/>
        <item x="246"/>
        <item x="180"/>
        <item x="404"/>
        <item x="140"/>
        <item x="64"/>
        <item x="341"/>
        <item x="112"/>
        <item x="155"/>
        <item x="192"/>
        <item x="305"/>
        <item x="342"/>
        <item x="340"/>
        <item x="113"/>
        <item x="38"/>
        <item x="358"/>
        <item x="193"/>
        <item x="187"/>
        <item x="65"/>
        <item x="284"/>
        <item x="66"/>
        <item x="309"/>
        <item x="285"/>
        <item x="60"/>
        <item x="114"/>
        <item x="344"/>
        <item x="115"/>
        <item x="175"/>
        <item x="54"/>
        <item x="116"/>
        <item x="343"/>
        <item x="81"/>
        <item x="67"/>
        <item x="147"/>
        <item x="23"/>
        <item x="28"/>
        <item x="411"/>
        <item x="345"/>
        <item x="82"/>
        <item x="117"/>
        <item x="118"/>
        <item x="24"/>
        <item x="55"/>
        <item x="202"/>
        <item x="68"/>
        <item x="346"/>
        <item x="119"/>
        <item x="286"/>
        <item x="347"/>
        <item x="120"/>
        <item x="392"/>
        <item x="348"/>
        <item x="287"/>
        <item x="288"/>
        <item x="166"/>
        <item x="8"/>
        <item x="350"/>
        <item x="413"/>
        <item x="289"/>
        <item x="29"/>
        <item x="306"/>
        <item x="349"/>
        <item x="90"/>
        <item x="40"/>
        <item x="22"/>
        <item x="154"/>
        <item x="290"/>
        <item x="242"/>
        <item x="141"/>
        <item x="194"/>
        <item x="39"/>
        <item x="351"/>
        <item x="142"/>
        <item x="405"/>
        <item x="352"/>
        <item x="121"/>
        <item x="353"/>
        <item x="221"/>
        <item x="122"/>
        <item x="410"/>
        <item x="222"/>
        <item x="291"/>
        <item x="308"/>
        <item x="198"/>
        <item x="195"/>
        <item x="9"/>
        <item x="292"/>
        <item x="364"/>
        <item x="196"/>
        <item x="30"/>
        <item x="293"/>
        <item x="83"/>
        <item x="91"/>
        <item x="69"/>
        <item x="31"/>
        <item x="123"/>
        <item x="2"/>
        <item x="339"/>
        <item x="362"/>
        <item x="384"/>
        <item x="294"/>
        <item x="295"/>
        <item x="1"/>
        <item x="213"/>
        <item x="296"/>
        <item x="42"/>
        <item x="243"/>
        <item x="354"/>
        <item x="125"/>
        <item x="124"/>
        <item x="143"/>
        <item x="283"/>
        <item x="48"/>
        <item x="355"/>
        <item x="227"/>
        <item x="156"/>
        <item x="84"/>
        <item x="297"/>
        <item x="10"/>
        <item x="365"/>
        <item x="70"/>
        <item x="214"/>
        <item x="167"/>
        <item x="131"/>
        <item x="228"/>
        <item x="393"/>
        <item x="86"/>
        <item x="144"/>
        <item x="299"/>
        <item x="298"/>
        <item x="356"/>
        <item x="300"/>
        <item x="49"/>
        <item x="176"/>
        <item x="215"/>
        <item x="216"/>
        <item x="229"/>
        <item x="301"/>
        <item x="71"/>
        <item x="126"/>
        <item x="302"/>
        <item x="168"/>
        <item x="92"/>
        <item x="366"/>
        <item x="244"/>
        <item x="169"/>
        <item x="397"/>
        <item x="385"/>
        <item x="255"/>
        <item x="93"/>
        <item x="157"/>
        <item x="412"/>
        <item x="223"/>
        <item x="197"/>
        <item x="145"/>
        <item x="146"/>
        <item x="41"/>
        <item x="56"/>
        <item x="19"/>
        <item x="72"/>
        <item x="415"/>
        <item x="177"/>
        <item x="418"/>
        <item x="94"/>
        <item x="127"/>
        <item x="386"/>
        <item x="363"/>
        <item x="128"/>
        <item x="357"/>
        <item x="217"/>
        <item x="50"/>
        <item x="205"/>
        <item x="129"/>
        <item x="303"/>
        <item x="158"/>
        <item x="245"/>
        <item x="95"/>
        <item x="25"/>
        <item x="11"/>
        <item x="85"/>
        <item x="304"/>
        <item x="4"/>
        <item t="default"/>
      </items>
    </pivotField>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8">
        <item x="1"/>
        <item x="2"/>
        <item x="3"/>
        <item x="4"/>
        <item x="6"/>
        <item x="7"/>
        <item x="8"/>
        <item x="9"/>
        <item x="11"/>
        <item x="12"/>
        <item x="13"/>
        <item x="15"/>
        <item x="16"/>
        <item x="17"/>
        <item x="18"/>
        <item x="19"/>
        <item x="20"/>
        <item x="21"/>
        <item x="22"/>
        <item x="23"/>
        <item x="24"/>
        <item x="25"/>
        <item x="26"/>
        <item x="27"/>
        <item x="28"/>
        <item x="10"/>
        <item x="29"/>
        <item x="30"/>
        <item x="31"/>
        <item x="32"/>
        <item x="33"/>
        <item x="14"/>
        <item x="34"/>
        <item x="35"/>
        <item x="0"/>
        <item x="36"/>
        <item x="37"/>
        <item x="38"/>
        <item x="39"/>
        <item x="40"/>
        <item x="41"/>
        <item x="42"/>
        <item x="43"/>
        <item x="44"/>
        <item x="5"/>
        <item x="45"/>
        <item x="46"/>
        <item t="default"/>
      </items>
    </pivotField>
    <pivotField showAll="0">
      <items count="10">
        <item x="6"/>
        <item x="7"/>
        <item x="3"/>
        <item x="8"/>
        <item x="4"/>
        <item x="5"/>
        <item x="1"/>
        <item h="1" x="0"/>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4">
    <field x="24"/>
    <field x="23"/>
    <field x="22"/>
    <field x="2"/>
  </rowFields>
  <rowItems count="10">
    <i>
      <x/>
    </i>
    <i>
      <x v="1"/>
    </i>
    <i>
      <x v="2"/>
    </i>
    <i>
      <x v="3"/>
    </i>
    <i>
      <x v="4"/>
    </i>
    <i>
      <x v="5"/>
    </i>
    <i>
      <x v="6"/>
    </i>
    <i>
      <x v="7"/>
    </i>
    <i>
      <x v="8"/>
    </i>
    <i t="grand">
      <x/>
    </i>
  </rowItems>
  <colItems count="1">
    <i/>
  </colItems>
  <dataFields count="1">
    <dataField name="Count of type_of_murder" fld="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AD7523-6A93-4E52-89F1-4E4F14FA700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25">
    <pivotField showAll="0"/>
    <pivotField showAll="0"/>
    <pivotField showAll="0">
      <items count="420">
        <item x="256"/>
        <item x="310"/>
        <item x="257"/>
        <item x="258"/>
        <item x="171"/>
        <item x="97"/>
        <item x="260"/>
        <item x="3"/>
        <item x="231"/>
        <item x="182"/>
        <item x="206"/>
        <item x="248"/>
        <item x="159"/>
        <item x="394"/>
        <item x="232"/>
        <item x="261"/>
        <item x="5"/>
        <item x="259"/>
        <item x="395"/>
        <item x="170"/>
        <item x="311"/>
        <item x="387"/>
        <item x="148"/>
        <item x="74"/>
        <item x="312"/>
        <item x="98"/>
        <item x="233"/>
        <item x="160"/>
        <item x="224"/>
        <item x="234"/>
        <item x="235"/>
        <item x="32"/>
        <item x="161"/>
        <item x="99"/>
        <item x="13"/>
        <item x="12"/>
        <item x="188"/>
        <item x="236"/>
        <item x="263"/>
        <item x="247"/>
        <item x="149"/>
        <item x="199"/>
        <item x="264"/>
        <item x="253"/>
        <item x="162"/>
        <item x="150"/>
        <item x="375"/>
        <item x="265"/>
        <item x="376"/>
        <item x="266"/>
        <item x="100"/>
        <item x="313"/>
        <item x="57"/>
        <item x="314"/>
        <item x="267"/>
        <item x="101"/>
        <item x="369"/>
        <item x="388"/>
        <item x="315"/>
        <item x="307"/>
        <item x="268"/>
        <item x="207"/>
        <item x="389"/>
        <item x="396"/>
        <item x="269"/>
        <item x="52"/>
        <item x="316"/>
        <item x="61"/>
        <item x="102"/>
        <item x="179"/>
        <item x="103"/>
        <item x="14"/>
        <item x="104"/>
        <item x="377"/>
        <item x="237"/>
        <item x="105"/>
        <item x="62"/>
        <item x="106"/>
        <item x="53"/>
        <item x="15"/>
        <item x="200"/>
        <item x="183"/>
        <item x="132"/>
        <item x="75"/>
        <item x="317"/>
        <item x="96"/>
        <item x="318"/>
        <item x="76"/>
        <item x="238"/>
        <item x="270"/>
        <item x="239"/>
        <item x="181"/>
        <item x="370"/>
        <item x="271"/>
        <item x="33"/>
        <item x="272"/>
        <item x="249"/>
        <item x="230"/>
        <item x="133"/>
        <item x="77"/>
        <item x="26"/>
        <item x="34"/>
        <item x="240"/>
        <item x="163"/>
        <item x="27"/>
        <item x="208"/>
        <item x="88"/>
        <item x="400"/>
        <item x="203"/>
        <item x="320"/>
        <item x="16"/>
        <item x="209"/>
        <item x="151"/>
        <item x="378"/>
        <item x="379"/>
        <item x="319"/>
        <item x="254"/>
        <item x="359"/>
        <item x="51"/>
        <item x="273"/>
        <item x="416"/>
        <item x="44"/>
        <item x="6"/>
        <item x="219"/>
        <item x="152"/>
        <item x="406"/>
        <item x="367"/>
        <item x="321"/>
        <item x="186"/>
        <item x="17"/>
        <item x="241"/>
        <item x="322"/>
        <item x="380"/>
        <item x="73"/>
        <item x="18"/>
        <item x="401"/>
        <item x="323"/>
        <item x="371"/>
        <item x="324"/>
        <item x="87"/>
        <item x="250"/>
        <item x="201"/>
        <item x="45"/>
        <item x="372"/>
        <item x="164"/>
        <item x="58"/>
        <item x="172"/>
        <item x="417"/>
        <item x="360"/>
        <item x="153"/>
        <item x="325"/>
        <item x="107"/>
        <item x="46"/>
        <item x="326"/>
        <item x="274"/>
        <item x="134"/>
        <item x="361"/>
        <item x="275"/>
        <item x="220"/>
        <item x="108"/>
        <item x="43"/>
        <item x="89"/>
        <item x="78"/>
        <item x="407"/>
        <item x="381"/>
        <item x="79"/>
        <item x="173"/>
        <item x="7"/>
        <item x="398"/>
        <item x="109"/>
        <item x="135"/>
        <item x="80"/>
        <item x="210"/>
        <item x="204"/>
        <item x="0"/>
        <item x="327"/>
        <item x="63"/>
        <item x="414"/>
        <item x="408"/>
        <item x="136"/>
        <item x="403"/>
        <item x="373"/>
        <item x="211"/>
        <item x="399"/>
        <item x="374"/>
        <item x="328"/>
        <item x="329"/>
        <item x="47"/>
        <item x="409"/>
        <item x="276"/>
        <item x="184"/>
        <item x="330"/>
        <item x="331"/>
        <item x="382"/>
        <item x="137"/>
        <item x="332"/>
        <item x="189"/>
        <item x="390"/>
        <item x="225"/>
        <item x="174"/>
        <item x="226"/>
        <item x="185"/>
        <item x="368"/>
        <item x="277"/>
        <item x="391"/>
        <item x="35"/>
        <item x="402"/>
        <item x="130"/>
        <item x="190"/>
        <item x="278"/>
        <item x="165"/>
        <item x="20"/>
        <item x="218"/>
        <item x="138"/>
        <item x="279"/>
        <item x="36"/>
        <item x="178"/>
        <item x="59"/>
        <item x="191"/>
        <item x="383"/>
        <item x="280"/>
        <item x="333"/>
        <item x="252"/>
        <item x="212"/>
        <item x="37"/>
        <item x="334"/>
        <item x="281"/>
        <item x="335"/>
        <item x="110"/>
        <item x="262"/>
        <item x="336"/>
        <item x="251"/>
        <item x="21"/>
        <item x="338"/>
        <item x="111"/>
        <item x="337"/>
        <item x="139"/>
        <item x="282"/>
        <item x="246"/>
        <item x="180"/>
        <item x="404"/>
        <item x="140"/>
        <item x="64"/>
        <item x="341"/>
        <item x="112"/>
        <item x="155"/>
        <item x="192"/>
        <item x="305"/>
        <item x="342"/>
        <item x="340"/>
        <item x="113"/>
        <item x="38"/>
        <item x="358"/>
        <item x="193"/>
        <item x="187"/>
        <item x="65"/>
        <item x="284"/>
        <item x="66"/>
        <item x="309"/>
        <item x="285"/>
        <item x="60"/>
        <item x="114"/>
        <item x="344"/>
        <item x="115"/>
        <item x="175"/>
        <item x="54"/>
        <item x="116"/>
        <item x="343"/>
        <item x="81"/>
        <item x="67"/>
        <item x="147"/>
        <item x="23"/>
        <item x="28"/>
        <item x="411"/>
        <item x="345"/>
        <item x="82"/>
        <item x="117"/>
        <item x="118"/>
        <item x="24"/>
        <item x="55"/>
        <item x="202"/>
        <item x="68"/>
        <item x="346"/>
        <item x="119"/>
        <item x="286"/>
        <item x="347"/>
        <item x="120"/>
        <item x="392"/>
        <item x="348"/>
        <item x="287"/>
        <item x="288"/>
        <item x="166"/>
        <item x="8"/>
        <item x="350"/>
        <item x="413"/>
        <item x="289"/>
        <item x="29"/>
        <item x="306"/>
        <item x="349"/>
        <item x="90"/>
        <item x="40"/>
        <item x="22"/>
        <item x="154"/>
        <item x="290"/>
        <item x="242"/>
        <item x="141"/>
        <item x="194"/>
        <item x="39"/>
        <item x="351"/>
        <item x="142"/>
        <item x="405"/>
        <item x="352"/>
        <item x="121"/>
        <item x="353"/>
        <item x="221"/>
        <item x="122"/>
        <item x="410"/>
        <item x="222"/>
        <item x="291"/>
        <item x="308"/>
        <item x="198"/>
        <item x="195"/>
        <item x="9"/>
        <item x="292"/>
        <item x="364"/>
        <item x="196"/>
        <item x="30"/>
        <item x="293"/>
        <item x="83"/>
        <item x="91"/>
        <item x="69"/>
        <item x="31"/>
        <item x="123"/>
        <item x="2"/>
        <item x="339"/>
        <item x="362"/>
        <item x="384"/>
        <item x="294"/>
        <item x="295"/>
        <item x="1"/>
        <item x="213"/>
        <item x="296"/>
        <item x="42"/>
        <item x="243"/>
        <item x="354"/>
        <item x="125"/>
        <item x="124"/>
        <item x="143"/>
        <item x="283"/>
        <item x="48"/>
        <item x="355"/>
        <item x="227"/>
        <item x="156"/>
        <item x="84"/>
        <item x="297"/>
        <item x="10"/>
        <item x="365"/>
        <item x="70"/>
        <item x="214"/>
        <item x="167"/>
        <item x="131"/>
        <item x="228"/>
        <item x="393"/>
        <item x="86"/>
        <item x="144"/>
        <item x="299"/>
        <item x="298"/>
        <item x="356"/>
        <item x="300"/>
        <item x="49"/>
        <item x="176"/>
        <item x="215"/>
        <item x="216"/>
        <item x="229"/>
        <item x="301"/>
        <item x="71"/>
        <item x="126"/>
        <item x="302"/>
        <item x="168"/>
        <item x="92"/>
        <item x="366"/>
        <item x="244"/>
        <item x="169"/>
        <item x="397"/>
        <item x="385"/>
        <item x="255"/>
        <item x="93"/>
        <item x="157"/>
        <item x="412"/>
        <item x="223"/>
        <item x="197"/>
        <item x="145"/>
        <item x="146"/>
        <item x="41"/>
        <item x="56"/>
        <item x="19"/>
        <item x="72"/>
        <item x="415"/>
        <item x="177"/>
        <item x="418"/>
        <item x="94"/>
        <item x="127"/>
        <item x="386"/>
        <item x="363"/>
        <item x="128"/>
        <item x="357"/>
        <item x="217"/>
        <item x="50"/>
        <item x="205"/>
        <item x="129"/>
        <item x="303"/>
        <item x="158"/>
        <item x="245"/>
        <item x="95"/>
        <item x="25"/>
        <item x="11"/>
        <item x="85"/>
        <item x="304"/>
        <item x="4"/>
        <item t="default"/>
      </items>
    </pivotField>
    <pivotField dataField="1" showAll="0"/>
    <pivotField showAll="0"/>
    <pivotField showAll="0"/>
    <pivotField showAll="0"/>
    <pivotField showAll="0"/>
    <pivotField showAll="0"/>
    <pivotField showAll="0"/>
    <pivotField showAll="0"/>
    <pivotField axis="axisRow" showAll="0">
      <items count="10">
        <item x="2"/>
        <item x="5"/>
        <item x="1"/>
        <item x="3"/>
        <item x="0"/>
        <item x="8"/>
        <item x="7"/>
        <item x="4"/>
        <item x="6"/>
        <item t="default"/>
      </items>
    </pivotField>
    <pivotField showAll="0"/>
    <pivotField showAll="0"/>
    <pivotField showAll="0"/>
    <pivotField showAll="0"/>
    <pivotField showAll="0"/>
    <pivotField showAll="0"/>
    <pivotField showAll="0"/>
    <pivotField showAll="0"/>
    <pivotField showAll="0">
      <items count="48">
        <item x="1"/>
        <item x="2"/>
        <item x="3"/>
        <item x="4"/>
        <item x="6"/>
        <item x="7"/>
        <item x="8"/>
        <item x="9"/>
        <item x="11"/>
        <item x="12"/>
        <item x="13"/>
        <item x="15"/>
        <item x="16"/>
        <item x="17"/>
        <item x="18"/>
        <item x="19"/>
        <item x="20"/>
        <item x="21"/>
        <item x="22"/>
        <item x="23"/>
        <item x="24"/>
        <item x="25"/>
        <item x="26"/>
        <item x="27"/>
        <item x="28"/>
        <item x="10"/>
        <item x="29"/>
        <item x="30"/>
        <item x="31"/>
        <item x="32"/>
        <item x="33"/>
        <item x="14"/>
        <item x="34"/>
        <item x="35"/>
        <item x="0"/>
        <item x="36"/>
        <item x="37"/>
        <item x="38"/>
        <item x="39"/>
        <item x="40"/>
        <item x="41"/>
        <item x="42"/>
        <item x="43"/>
        <item x="44"/>
        <item x="5"/>
        <item x="45"/>
        <item x="46"/>
        <item t="default"/>
      </items>
    </pivotField>
    <pivotField showAll="0">
      <items count="10">
        <item x="6"/>
        <item x="7"/>
        <item x="3"/>
        <item x="8"/>
        <item x="4"/>
        <item x="5"/>
        <item x="1"/>
        <item h="1"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1"/>
  </rowFields>
  <rowItems count="10">
    <i>
      <x/>
    </i>
    <i>
      <x v="1"/>
    </i>
    <i>
      <x v="2"/>
    </i>
    <i>
      <x v="3"/>
    </i>
    <i>
      <x v="4"/>
    </i>
    <i>
      <x v="5"/>
    </i>
    <i>
      <x v="6"/>
    </i>
    <i>
      <x v="7"/>
    </i>
    <i>
      <x v="8"/>
    </i>
    <i t="grand">
      <x/>
    </i>
  </rowItems>
  <colItems count="1">
    <i/>
  </colItems>
  <dataFields count="1">
    <dataField name="Count of type_of_murder" fld="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DFBD16-D8AD-44BF-A532-D7CB30FFD228}" autoFormatId="16" applyNumberFormats="0" applyBorderFormats="0" applyFontFormats="0" applyPatternFormats="0" applyAlignmentFormats="0" applyWidthHeightFormats="0">
  <queryTableRefresh nextId="25" unboundColumnsRight="1">
    <queryTableFields count="22">
      <queryTableField id="1" name="Author Name" tableColumnId="1"/>
      <queryTableField id="2" name="medium" tableColumnId="2"/>
      <queryTableField id="3" name="published_date" tableColumnId="3"/>
      <queryTableField id="4" name="type_of_murder" tableColumnId="4"/>
      <queryTableField id="5" name="name_of_victim" tableColumnId="5"/>
      <queryTableField id="6" name="age" tableColumnId="6"/>
      <queryTableField id="7" name="date_of_murder" tableColumnId="7"/>
      <queryTableField id="8" name="name_of_suspect" tableColumnId="8"/>
      <queryTableField id="23" dataBound="0" tableColumnId="23"/>
      <queryTableField id="10" name="type_of_femicide" tableColumnId="10"/>
      <queryTableField id="11" name="murder_scene" tableColumnId="11"/>
      <queryTableField id="12" name="mode_of_killing" tableColumnId="12"/>
      <queryTableField id="13" name="circumstance" tableColumnId="13"/>
      <queryTableField id="14" name="status_on_article_date" tableColumnId="14"/>
      <queryTableField id="15" name="court_date_(first_appearance)" tableColumnId="15"/>
      <queryTableField id="16" name="verdict_date" tableColumnId="16"/>
      <queryTableField id="17" name="verdict" tableColumnId="17"/>
      <queryTableField id="18" name="years_of_sentence" tableColumnId="18"/>
      <queryTableField id="19" name="days_to_verdict" tableColumnId="19"/>
      <queryTableField id="20" name="area" tableColumnId="20"/>
      <queryTableField id="21" name="county" tableColumnId="21"/>
      <queryTableField id="24" dataBound="0" tableColumnId="9"/>
    </queryTableFields>
    <queryTableDeletedFields count="1">
      <deletedField name="suspect_relationship"/>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 xr10:uid="{C11C5BDA-1781-4976-BC50-E70EEDD18078}" sourceName="county">
  <pivotTables>
    <pivotTable tabId="9" name="PivotTable5"/>
    <pivotTable tabId="13" name="PivotTable1"/>
    <pivotTable tabId="10" name="PivotTable6"/>
    <pivotTable tabId="11" name="PivotTable7"/>
  </pivotTables>
  <data>
    <tabular pivotCacheId="1151473466">
      <items count="47">
        <i x="1" s="1"/>
        <i x="2" s="1"/>
        <i x="3" s="1"/>
        <i x="4" s="1"/>
        <i x="6" s="1"/>
        <i x="7" s="1"/>
        <i x="8" s="1"/>
        <i x="9" s="1"/>
        <i x="11" s="1"/>
        <i x="12" s="1"/>
        <i x="13" s="1"/>
        <i x="15" s="1"/>
        <i x="16" s="1"/>
        <i x="17" s="1"/>
        <i x="18" s="1"/>
        <i x="19" s="1"/>
        <i x="20" s="1"/>
        <i x="21" s="1"/>
        <i x="22" s="1"/>
        <i x="23" s="1"/>
        <i x="24" s="1"/>
        <i x="25" s="1"/>
        <i x="26" s="1"/>
        <i x="27" s="1"/>
        <i x="28" s="1"/>
        <i x="10" s="1"/>
        <i x="29" s="1"/>
        <i x="30" s="1"/>
        <i x="31" s="1"/>
        <i x="32" s="1"/>
        <i x="33" s="1"/>
        <i x="14" s="1"/>
        <i x="35" s="1"/>
        <i x="36" s="1"/>
        <i x="37" s="1"/>
        <i x="38" s="1"/>
        <i x="39" s="1"/>
        <i x="40" s="1"/>
        <i x="41" s="1"/>
        <i x="42" s="1"/>
        <i x="43" s="1"/>
        <i x="44" s="1"/>
        <i x="5" s="1"/>
        <i x="45" s="1"/>
        <i x="46" s="1"/>
        <i x="34"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A56C87-1D15-49C7-9DDA-59E2E80A3F68}" sourceName="Region">
  <pivotTables>
    <pivotTable tabId="9" name="PivotTable5"/>
    <pivotTable tabId="13" name="PivotTable1"/>
    <pivotTable tabId="10" name="PivotTable6"/>
    <pivotTable tabId="11" name="PivotTable7"/>
  </pivotTables>
  <data>
    <tabular pivotCacheId="1151473466">
      <items count="9">
        <i x="6" s="1"/>
        <i x="7" s="1"/>
        <i x="3" s="1"/>
        <i x="8" s="1"/>
        <i x="4" s="1"/>
        <i x="5" s="1"/>
        <i x="1" s="1"/>
        <i x="0"/>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femicide" xr10:uid="{BF92D278-F8C2-4E2F-BD30-0D369AE01003}" sourceName="type_of_femicide">
  <pivotTables>
    <pivotTable tabId="3" name="PivotTable1"/>
    <pivotTable tabId="4" name="PivotTable1"/>
    <pivotTable tabId="5" name="PivotTable2"/>
    <pivotTable tabId="6" name="PivotTable3"/>
  </pivotTables>
  <data>
    <tabular pivotCacheId="824537030">
      <items count="4">
        <i x="0" s="1"/>
        <i x="2" s="1"/>
        <i x="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spect_relationship" xr10:uid="{5F8604C9-C6F0-4EBA-A078-A7321C008E94}" sourceName="suspect relationship">
  <pivotTables>
    <pivotTable tabId="6" name="PivotTable3"/>
    <pivotTable tabId="4" name="PivotTable1"/>
    <pivotTable tabId="3" name="PivotTable1"/>
    <pivotTable tabId="5" name="PivotTable2"/>
  </pivotTables>
  <data>
    <tabular pivotCacheId="824537030">
      <items count="9">
        <i x="3" s="1"/>
        <i x="2" s="1"/>
        <i x="1" s="1"/>
        <i x="5" s="1"/>
        <i x="6" s="1"/>
        <i x="0" s="1"/>
        <i x="7" s="1"/>
        <i x="4" s="1"/>
        <i x="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urder_scene" xr10:uid="{BD1E9D75-6721-4E43-8DC1-1EB831E78A7B}" sourceName="murder_scene">
  <pivotTables>
    <pivotTable tabId="6" name="PivotTable3"/>
    <pivotTable tabId="4" name="PivotTable1"/>
    <pivotTable tabId="3" name="PivotTable1"/>
    <pivotTable tabId="5" name="PivotTable2"/>
  </pivotTables>
  <data>
    <tabular pivotCacheId="824537030">
      <items count="7">
        <i x="0" s="1"/>
        <i x="1" s="1"/>
        <i x="4" s="1"/>
        <i x="2" s="1"/>
        <i x="3" s="1"/>
        <i x="5" s="1"/>
        <i x="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on_article_date" xr10:uid="{7BD7E6BC-B61B-4AF3-8E17-53A5701BC447}" sourceName="status_on_article_date">
  <pivotTables>
    <pivotTable tabId="6" name="PivotTable3"/>
    <pivotTable tabId="4" name="PivotTable1"/>
    <pivotTable tabId="3" name="PivotTable1"/>
    <pivotTable tabId="5" name="PivotTable2"/>
  </pivotTables>
  <data>
    <tabular pivotCacheId="824537030">
      <items count="10">
        <i x="3" s="1"/>
        <i x="7" s="1"/>
        <i x="5" s="1"/>
        <i x="0" s="1"/>
        <i x="4" s="1"/>
        <i x="2" s="1"/>
        <i x="6" s="1"/>
        <i x="8" s="1"/>
        <i x="1"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1" xr10:uid="{8B757982-66E6-4170-8144-DECA7F9C641E}" cache="Slicer_county" caption="county" rowHeight="247650"/>
  <slicer name="Region 1" xr10:uid="{CED76FA2-1C14-43AB-B708-E0B4552120DE}" cache="Slicer_Region" caption="Region" rowHeight="247650"/>
  <slicer name="type_of_femicide 1" xr10:uid="{4798939B-AF98-47B9-A761-AF0AC1BE4F91}" cache="Slicer_type_of_femicide" caption="type_of_femicide" rowHeight="247650"/>
  <slicer name="suspect relationship 1" xr10:uid="{E4D071D7-2429-45A3-B886-C46FC867CFA7}" cache="Slicer_suspect_relationship" caption="suspect relationship" rowHeight="247650"/>
  <slicer name="murder_scene 1" xr10:uid="{6C701476-F7C3-4DAF-AF10-DC721738F889}" cache="Slicer_murder_scene" caption="murder_scene" rowHeight="247650"/>
  <slicer name="status_on_article_date 1" xr10:uid="{0868A8CF-985F-4B8C-B454-BD406369BAFE}" cache="Slicer_status_on_article_date" caption="status_on_article_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_of_femicide" xr10:uid="{905FB98A-1D8D-4736-86AC-662F40FB0B83}" cache="Slicer_type_of_femicide" caption="type_of_femicid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spect relationship" xr10:uid="{5CA3F4EC-AA8C-4522-8575-C27B5EF8FCA6}" cache="Slicer_suspect_relationship" caption="suspect relationship" rowHeight="247650"/>
  <slicer name="murder_scene" xr10:uid="{B6E15676-6802-45D4-9993-955A714C380B}" cache="Slicer_murder_scene" caption="murder_scene" rowHeight="247650"/>
  <slicer name="status_on_article_date" xr10:uid="{4A00925A-9F9E-486B-A326-2C36CCB09B8B}" cache="Slicer_status_on_article_date" caption="status_on_article_dat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xr10:uid="{3944EE78-EFDC-4D1A-AA92-1D25DA80F093}" cache="Slicer_county" caption="county" rowHeight="247650"/>
  <slicer name="Region" xr10:uid="{F1FE6EAF-3194-4CA2-86B9-7F9046A7EF98}" cache="Slicer_Region" caption="Reg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359280-CC7B-4758-9333-BA1862241391}" name="new_data" displayName="new_data" ref="A1:V509" tableType="queryTable" totalsRowCount="1" headerRowDxfId="20">
  <tableColumns count="22">
    <tableColumn id="1" xr3:uid="{B5A01D52-6CB1-4162-B5C9-2BCDACFD7FF8}" uniqueName="1" name="Author Name" totalsRowFunction="custom" queryTableFieldId="1" dataDxfId="19">
      <totalsRowFormula>COUNTA(A2:A508)</totalsRowFormula>
    </tableColumn>
    <tableColumn id="2" xr3:uid="{811B996F-22E2-4AFD-868E-6056A549E1EB}" uniqueName="2" name="medium" queryTableFieldId="2" dataDxfId="18"/>
    <tableColumn id="3" xr3:uid="{447C8193-4960-4F96-8FE8-140F05A5856B}" uniqueName="3" name="published_date" queryTableFieldId="3" dataDxfId="17" totalsRowDxfId="16"/>
    <tableColumn id="4" xr3:uid="{8C8E9E66-AFF4-430E-88B7-1D4B91DF71C5}" uniqueName="4" name="type_of_murder" queryTableFieldId="4" dataDxfId="15"/>
    <tableColumn id="5" xr3:uid="{4169CAAF-5FFF-4A1E-B447-8A85F1D007EC}" uniqueName="5" name="name_of_victim" queryTableFieldId="5" dataDxfId="14"/>
    <tableColumn id="6" xr3:uid="{325631BF-F335-46D7-A118-B5D387E7E6D0}" uniqueName="6" name="age" totalsRowFunction="custom" queryTableFieldId="6" dataDxfId="13" totalsRowDxfId="12">
      <totalsRowFormula>COUNTIFS(F2:F508, "&gt; 18", F2:F508, "&lt;&gt;")</totalsRowFormula>
    </tableColumn>
    <tableColumn id="7" xr3:uid="{36EC7F75-A556-41EF-A299-EB87874DD91D}" uniqueName="7" name="date_of_murder" queryTableFieldId="7" dataDxfId="11" totalsRowDxfId="10"/>
    <tableColumn id="8" xr3:uid="{5F66A43E-2A7B-4324-B67C-D643A3D85623}" uniqueName="8" name="name_of_suspect" queryTableFieldId="8"/>
    <tableColumn id="23" xr3:uid="{DDF65A2A-C082-42D6-A556-007242D25DD6}" uniqueName="23" name="suspect relationship" queryTableFieldId="23"/>
    <tableColumn id="10" xr3:uid="{4C832EA9-5904-4261-88F2-3B37721138A2}" uniqueName="10" name="type_of_femicide" queryTableFieldId="10"/>
    <tableColumn id="11" xr3:uid="{F27F6D86-D82A-44BC-B789-2A383C217295}" uniqueName="11" name="murder_scene" queryTableFieldId="11"/>
    <tableColumn id="12" xr3:uid="{D1249E1E-C01F-4926-9416-6A84045C78B8}" uniqueName="12" name="mode_of_killing" queryTableFieldId="12"/>
    <tableColumn id="13" xr3:uid="{ADB4C647-2020-454F-8D1E-E93DE55BA473}" uniqueName="13" name="circumstance" queryTableFieldId="13"/>
    <tableColumn id="14" xr3:uid="{29591988-C43F-465B-95F8-181229B05A92}" uniqueName="14" name="status_on_article_date" queryTableFieldId="14"/>
    <tableColumn id="15" xr3:uid="{1DF39264-D6EF-4E49-9EF0-0E560FEBA91F}" uniqueName="15" name="court_date_(first_appearance)" queryTableFieldId="15" dataDxfId="9" totalsRowDxfId="8"/>
    <tableColumn id="16" xr3:uid="{AA6954C6-1787-470C-989C-7FE5B4AE89CD}" uniqueName="16" name="verdict_date" queryTableFieldId="16" dataDxfId="7" totalsRowDxfId="6"/>
    <tableColumn id="17" xr3:uid="{0A37C33C-2ACD-4AF3-B309-5C002A99798D}" uniqueName="17" name="verdict" queryTableFieldId="17"/>
    <tableColumn id="18" xr3:uid="{C593F442-4118-43BC-BCCC-D94223C9A655}" uniqueName="18" name="years_of_sentence" queryTableFieldId="18" dataDxfId="5" totalsRowDxfId="4"/>
    <tableColumn id="19" xr3:uid="{22A06FF0-9D85-4B96-8FAC-86BB268CC958}" uniqueName="19" name="days_to_verdict" totalsRowFunction="custom" queryTableFieldId="19" dataDxfId="3" totalsRowDxfId="2">
      <totalsRowFormula>SUBTOTAL(101,new_data[days_to_verdict])/365</totalsRowFormula>
    </tableColumn>
    <tableColumn id="20" xr3:uid="{93867AFE-CCE1-4DCB-90FF-DA367D4FEE9B}" uniqueName="20" name="area" queryTableFieldId="20" dataDxfId="1"/>
    <tableColumn id="21" xr3:uid="{08B2280D-A1AA-475C-A060-69B2762D1B70}" uniqueName="21" name="county" queryTableFieldId="21"/>
    <tableColumn id="9" xr3:uid="{A11180E5-CB99-46F3-99E8-D3B8BFD42987}" uniqueName="9" name="Region" queryTableFieldId="24" dataDxfId="0">
      <calculatedColumnFormula>_xlfn.XLOOKUP(U2, Mapping!$A$2:$A$48, Mapping!$B$2:$B$48, "Unknown County")</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ublished_date" xr10:uid="{EAFA562F-5E84-4481-99AF-8A36A3C4A669}" sourceName="published_date">
  <pivotTables>
    <pivotTable tabId="13" name="PivotTable1"/>
  </pivotTables>
  <state minimalRefreshVersion="6" lastRefreshVersion="6" pivotCacheId="1151473466" filterType="unknown">
    <bounds startDate="2016-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blished_date" xr10:uid="{226C43F5-C02A-4A09-B46A-A8B69A37A19F}" cache="NativeTimeline_published_date" caption="published_date" level="2" selectionLevel="1" scrollPosition="2020-06-03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4.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5.xml"/><Relationship Id="rId4" Type="http://schemas.microsoft.com/office/2007/relationships/slicer" Target="../slicers/slicer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9.bin"/><Relationship Id="rId1" Type="http://schemas.openxmlformats.org/officeDocument/2006/relationships/pivotTable" Target="../pivotTables/pivotTable7.xml"/><Relationship Id="rId4" Type="http://schemas.microsoft.com/office/2011/relationships/timeline" Target="../timelines/timeline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4AD90-48DA-44FF-8D13-F3BF1E99F6AF}">
  <dimension ref="A1"/>
  <sheetViews>
    <sheetView tabSelected="1" zoomScale="81" zoomScaleNormal="81" workbookViewId="0">
      <selection activeCell="X3" sqref="X3"/>
    </sheetView>
  </sheetViews>
  <sheetFormatPr defaultRowHeight="14.4" x14ac:dyDescent="0.3"/>
  <cols>
    <col min="1" max="16384" width="8.88671875" style="1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D84BE-53C4-4F39-85CD-98D6494ECC68}">
  <dimension ref="A1:V509"/>
  <sheetViews>
    <sheetView workbookViewId="0">
      <pane xSplit="1" ySplit="1" topLeftCell="B2" activePane="bottomRight" state="frozen"/>
      <selection pane="topRight" activeCell="B1" sqref="B1"/>
      <selection pane="bottomLeft" activeCell="A2" sqref="A2"/>
      <selection pane="bottomRight" activeCell="F509" sqref="F509"/>
    </sheetView>
  </sheetViews>
  <sheetFormatPr defaultRowHeight="14.4" x14ac:dyDescent="0.3"/>
  <cols>
    <col min="1" max="1" width="46.77734375" bestFit="1" customWidth="1"/>
    <col min="2" max="2" width="17.77734375" bestFit="1" customWidth="1"/>
    <col min="3" max="3" width="16.21875" style="3" bestFit="1" customWidth="1"/>
    <col min="4" max="4" width="16.21875" bestFit="1" customWidth="1"/>
    <col min="5" max="5" width="26.33203125" bestFit="1" customWidth="1"/>
    <col min="6" max="6" width="7.77734375" style="5" bestFit="1" customWidth="1"/>
    <col min="7" max="7" width="16.33203125" style="3" bestFit="1" customWidth="1"/>
    <col min="8" max="8" width="44" bestFit="1" customWidth="1"/>
    <col min="9" max="9" width="44" customWidth="1"/>
    <col min="10" max="10" width="17.5546875" bestFit="1" customWidth="1"/>
    <col min="11" max="11" width="15" bestFit="1" customWidth="1"/>
    <col min="12" max="12" width="16.33203125" bestFit="1" customWidth="1"/>
    <col min="13" max="13" width="32.21875" customWidth="1"/>
    <col min="14" max="14" width="23" bestFit="1" customWidth="1"/>
    <col min="15" max="15" width="28.6640625" bestFit="1" customWidth="1"/>
    <col min="16" max="16" width="13.6640625" style="3" bestFit="1" customWidth="1"/>
    <col min="17" max="17" width="11.21875" bestFit="1" customWidth="1"/>
    <col min="18" max="18" width="18.44140625" style="7" bestFit="1" customWidth="1"/>
    <col min="19" max="19" width="16.33203125" style="7" bestFit="1" customWidth="1"/>
    <col min="20" max="20" width="45.6640625" bestFit="1" customWidth="1"/>
    <col min="21" max="22" width="14.44140625" bestFit="1" customWidth="1"/>
  </cols>
  <sheetData>
    <row r="1" spans="1:22" s="1" customFormat="1" x14ac:dyDescent="0.3">
      <c r="A1" s="1" t="s">
        <v>0</v>
      </c>
      <c r="B1" s="1" t="s">
        <v>1</v>
      </c>
      <c r="C1" s="2" t="s">
        <v>2</v>
      </c>
      <c r="D1" s="1" t="s">
        <v>3</v>
      </c>
      <c r="E1" s="1" t="s">
        <v>4</v>
      </c>
      <c r="F1" s="4" t="s">
        <v>5</v>
      </c>
      <c r="G1" s="2" t="s">
        <v>6</v>
      </c>
      <c r="H1" s="1" t="s">
        <v>7</v>
      </c>
      <c r="I1" s="1" t="s">
        <v>1586</v>
      </c>
      <c r="J1" s="1" t="s">
        <v>8</v>
      </c>
      <c r="K1" s="1" t="s">
        <v>9</v>
      </c>
      <c r="L1" s="1" t="s">
        <v>10</v>
      </c>
      <c r="M1" s="1" t="s">
        <v>11</v>
      </c>
      <c r="N1" s="1" t="s">
        <v>12</v>
      </c>
      <c r="O1" s="1" t="s">
        <v>13</v>
      </c>
      <c r="P1" s="2" t="s">
        <v>14</v>
      </c>
      <c r="Q1" s="1" t="s">
        <v>15</v>
      </c>
      <c r="R1" s="6" t="s">
        <v>16</v>
      </c>
      <c r="S1" s="6" t="s">
        <v>17</v>
      </c>
      <c r="T1" s="1" t="s">
        <v>18</v>
      </c>
      <c r="U1" s="1" t="s">
        <v>19</v>
      </c>
      <c r="V1" s="1" t="s">
        <v>1612</v>
      </c>
    </row>
    <row r="2" spans="1:22" x14ac:dyDescent="0.3">
      <c r="A2" t="s">
        <v>20</v>
      </c>
      <c r="B2" t="s">
        <v>21</v>
      </c>
      <c r="C2" s="3">
        <v>43649</v>
      </c>
      <c r="D2" t="s">
        <v>22</v>
      </c>
      <c r="E2" t="s">
        <v>23</v>
      </c>
      <c r="F2" s="7"/>
      <c r="H2" t="s">
        <v>24</v>
      </c>
      <c r="I2" t="s">
        <v>39</v>
      </c>
      <c r="J2" t="s">
        <v>25</v>
      </c>
      <c r="K2" t="s">
        <v>26</v>
      </c>
      <c r="L2" t="s">
        <v>27</v>
      </c>
      <c r="M2" t="s">
        <v>28</v>
      </c>
      <c r="N2" t="s">
        <v>28</v>
      </c>
      <c r="O2" s="3"/>
      <c r="P2" s="3">
        <v>43649</v>
      </c>
      <c r="Q2" t="s">
        <v>29</v>
      </c>
      <c r="S2" s="7">
        <v>2068</v>
      </c>
      <c r="T2" t="s">
        <v>28</v>
      </c>
      <c r="U2" t="s">
        <v>28</v>
      </c>
      <c r="V2" t="str">
        <f>_xlfn.XLOOKUP(U2, Mapping!$A$2:$A$48, Mapping!$B$2:$B$48, "Unknown County")</f>
        <v>Unknown County</v>
      </c>
    </row>
    <row r="3" spans="1:22" x14ac:dyDescent="0.3">
      <c r="A3" t="s">
        <v>30</v>
      </c>
      <c r="B3" t="s">
        <v>31</v>
      </c>
      <c r="C3" s="3">
        <v>44746</v>
      </c>
      <c r="D3" t="s">
        <v>22</v>
      </c>
      <c r="E3" t="s">
        <v>28</v>
      </c>
      <c r="F3" s="7">
        <v>24</v>
      </c>
      <c r="H3" t="s">
        <v>32</v>
      </c>
      <c r="I3" t="s">
        <v>39</v>
      </c>
      <c r="J3" t="s">
        <v>25</v>
      </c>
      <c r="K3" t="s">
        <v>26</v>
      </c>
      <c r="L3" t="s">
        <v>33</v>
      </c>
      <c r="M3" t="s">
        <v>34</v>
      </c>
      <c r="N3" t="s">
        <v>35</v>
      </c>
      <c r="O3" s="3"/>
      <c r="Q3" t="s">
        <v>28</v>
      </c>
      <c r="T3" t="s">
        <v>28</v>
      </c>
      <c r="U3" t="s">
        <v>28</v>
      </c>
      <c r="V3" t="str">
        <f>_xlfn.XLOOKUP(U3, Mapping!$A$2:$A$48, Mapping!$B$2:$B$48, "Unknown County")</f>
        <v>Unknown County</v>
      </c>
    </row>
    <row r="4" spans="1:22" x14ac:dyDescent="0.3">
      <c r="A4" t="s">
        <v>36</v>
      </c>
      <c r="B4" t="s">
        <v>28</v>
      </c>
      <c r="C4" s="3">
        <v>44698</v>
      </c>
      <c r="D4" t="s">
        <v>22</v>
      </c>
      <c r="E4" t="s">
        <v>37</v>
      </c>
      <c r="F4" s="7"/>
      <c r="H4" t="s">
        <v>38</v>
      </c>
      <c r="I4" t="s">
        <v>39</v>
      </c>
      <c r="J4" t="s">
        <v>28</v>
      </c>
      <c r="K4" t="s">
        <v>28</v>
      </c>
      <c r="L4" t="s">
        <v>40</v>
      </c>
      <c r="M4" t="s">
        <v>28</v>
      </c>
      <c r="N4" t="s">
        <v>28</v>
      </c>
      <c r="O4" s="3"/>
      <c r="Q4" t="s">
        <v>41</v>
      </c>
      <c r="T4" t="s">
        <v>28</v>
      </c>
      <c r="U4" t="s">
        <v>28</v>
      </c>
      <c r="V4" t="str">
        <f>_xlfn.XLOOKUP(U4, Mapping!$A$2:$A$48, Mapping!$B$2:$B$48, "Unknown County")</f>
        <v>Unknown County</v>
      </c>
    </row>
    <row r="5" spans="1:22" x14ac:dyDescent="0.3">
      <c r="A5" t="s">
        <v>42</v>
      </c>
      <c r="B5" t="s">
        <v>21</v>
      </c>
      <c r="C5" s="3">
        <v>42607</v>
      </c>
      <c r="D5" t="s">
        <v>22</v>
      </c>
      <c r="E5" t="s">
        <v>43</v>
      </c>
      <c r="F5" s="7"/>
      <c r="H5" t="s">
        <v>44</v>
      </c>
      <c r="I5" t="s">
        <v>39</v>
      </c>
      <c r="J5" t="s">
        <v>45</v>
      </c>
      <c r="K5" t="s">
        <v>28</v>
      </c>
      <c r="L5" t="s">
        <v>46</v>
      </c>
      <c r="M5" t="s">
        <v>28</v>
      </c>
      <c r="N5" t="s">
        <v>28</v>
      </c>
      <c r="O5" s="3"/>
      <c r="Q5" t="s">
        <v>28</v>
      </c>
      <c r="T5" t="s">
        <v>28</v>
      </c>
      <c r="U5" t="s">
        <v>28</v>
      </c>
      <c r="V5" t="str">
        <f>_xlfn.XLOOKUP(U5, Mapping!$A$2:$A$48, Mapping!$B$2:$B$48, "Unknown County")</f>
        <v>Unknown County</v>
      </c>
    </row>
    <row r="6" spans="1:22" x14ac:dyDescent="0.3">
      <c r="A6" t="s">
        <v>28</v>
      </c>
      <c r="B6" t="s">
        <v>47</v>
      </c>
      <c r="D6" t="s">
        <v>22</v>
      </c>
      <c r="E6" t="s">
        <v>48</v>
      </c>
      <c r="F6" s="7">
        <v>27</v>
      </c>
      <c r="H6" t="s">
        <v>28</v>
      </c>
      <c r="I6" t="s">
        <v>39</v>
      </c>
      <c r="J6" t="s">
        <v>28</v>
      </c>
      <c r="K6" t="s">
        <v>28</v>
      </c>
      <c r="L6" t="s">
        <v>46</v>
      </c>
      <c r="M6" t="s">
        <v>28</v>
      </c>
      <c r="N6" t="s">
        <v>28</v>
      </c>
      <c r="O6" s="3"/>
      <c r="Q6" t="s">
        <v>28</v>
      </c>
      <c r="T6" t="s">
        <v>49</v>
      </c>
      <c r="U6" t="s">
        <v>50</v>
      </c>
      <c r="V6" t="str">
        <f>_xlfn.XLOOKUP(U6, Mapping!$A$2:$A$48, Mapping!$B$2:$B$48, "Unknown County")</f>
        <v>Rift Valley</v>
      </c>
    </row>
    <row r="7" spans="1:22" x14ac:dyDescent="0.3">
      <c r="A7" t="s">
        <v>51</v>
      </c>
      <c r="B7" t="s">
        <v>21</v>
      </c>
      <c r="C7" s="3">
        <v>42691</v>
      </c>
      <c r="D7" t="s">
        <v>22</v>
      </c>
      <c r="E7" t="s">
        <v>52</v>
      </c>
      <c r="F7" s="7"/>
      <c r="H7" t="s">
        <v>53</v>
      </c>
      <c r="I7" t="s">
        <v>1584</v>
      </c>
      <c r="J7" t="s">
        <v>25</v>
      </c>
      <c r="K7" t="s">
        <v>26</v>
      </c>
      <c r="L7" t="s">
        <v>46</v>
      </c>
      <c r="M7" t="s">
        <v>34</v>
      </c>
      <c r="N7" t="s">
        <v>28</v>
      </c>
      <c r="O7" s="3">
        <v>42720</v>
      </c>
      <c r="P7" s="3">
        <v>43588</v>
      </c>
      <c r="Q7" t="s">
        <v>54</v>
      </c>
      <c r="R7" s="7">
        <v>0</v>
      </c>
      <c r="S7" s="7">
        <v>1212</v>
      </c>
      <c r="T7" t="s">
        <v>55</v>
      </c>
      <c r="U7" t="s">
        <v>56</v>
      </c>
      <c r="V7" t="str">
        <f>_xlfn.XLOOKUP(U7, Mapping!$A$2:$A$48, Mapping!$B$2:$B$48, "Unknown County")</f>
        <v>Rift Valley</v>
      </c>
    </row>
    <row r="8" spans="1:22" x14ac:dyDescent="0.3">
      <c r="A8" t="s">
        <v>57</v>
      </c>
      <c r="B8" t="s">
        <v>58</v>
      </c>
      <c r="C8" s="3">
        <v>43353</v>
      </c>
      <c r="D8" t="s">
        <v>22</v>
      </c>
      <c r="E8" t="s">
        <v>28</v>
      </c>
      <c r="F8" s="7">
        <v>24</v>
      </c>
      <c r="H8" t="s">
        <v>28</v>
      </c>
      <c r="I8" t="s">
        <v>1585</v>
      </c>
      <c r="J8" t="s">
        <v>25</v>
      </c>
      <c r="K8" t="s">
        <v>26</v>
      </c>
      <c r="L8" t="s">
        <v>59</v>
      </c>
      <c r="M8" t="s">
        <v>60</v>
      </c>
      <c r="N8" t="s">
        <v>35</v>
      </c>
      <c r="O8" s="3"/>
      <c r="Q8" t="s">
        <v>28</v>
      </c>
      <c r="T8" t="s">
        <v>61</v>
      </c>
      <c r="U8" t="s">
        <v>56</v>
      </c>
      <c r="V8" t="str">
        <f>_xlfn.XLOOKUP(U8, Mapping!$A$2:$A$48, Mapping!$B$2:$B$48, "Unknown County")</f>
        <v>Rift Valley</v>
      </c>
    </row>
    <row r="9" spans="1:22" x14ac:dyDescent="0.3">
      <c r="A9" t="s">
        <v>62</v>
      </c>
      <c r="B9" t="s">
        <v>63</v>
      </c>
      <c r="C9" s="3">
        <v>43597</v>
      </c>
      <c r="D9" t="s">
        <v>22</v>
      </c>
      <c r="E9" t="s">
        <v>64</v>
      </c>
      <c r="F9" s="7">
        <v>20</v>
      </c>
      <c r="G9" s="3">
        <v>43596</v>
      </c>
      <c r="H9" t="s">
        <v>65</v>
      </c>
      <c r="I9" t="s">
        <v>39</v>
      </c>
      <c r="J9" t="s">
        <v>25</v>
      </c>
      <c r="K9" t="s">
        <v>26</v>
      </c>
      <c r="L9" t="s">
        <v>33</v>
      </c>
      <c r="M9" t="s">
        <v>34</v>
      </c>
      <c r="N9" t="s">
        <v>35</v>
      </c>
      <c r="O9" s="3"/>
      <c r="Q9" t="s">
        <v>28</v>
      </c>
      <c r="T9" t="s">
        <v>66</v>
      </c>
      <c r="U9" t="s">
        <v>56</v>
      </c>
      <c r="V9" t="str">
        <f>_xlfn.XLOOKUP(U9, Mapping!$A$2:$A$48, Mapping!$B$2:$B$48, "Unknown County")</f>
        <v>Rift Valley</v>
      </c>
    </row>
    <row r="10" spans="1:22" x14ac:dyDescent="0.3">
      <c r="A10" t="s">
        <v>67</v>
      </c>
      <c r="B10" t="s">
        <v>63</v>
      </c>
      <c r="D10" t="s">
        <v>22</v>
      </c>
      <c r="E10" t="s">
        <v>68</v>
      </c>
      <c r="F10" s="7">
        <v>45</v>
      </c>
      <c r="H10" t="s">
        <v>69</v>
      </c>
      <c r="I10" t="s">
        <v>70</v>
      </c>
      <c r="J10" t="s">
        <v>25</v>
      </c>
      <c r="K10" t="s">
        <v>71</v>
      </c>
      <c r="L10" t="s">
        <v>72</v>
      </c>
      <c r="M10" t="s">
        <v>73</v>
      </c>
      <c r="N10" t="s">
        <v>28</v>
      </c>
      <c r="O10" s="3"/>
      <c r="Q10" t="s">
        <v>28</v>
      </c>
      <c r="T10" t="s">
        <v>74</v>
      </c>
      <c r="U10" t="s">
        <v>56</v>
      </c>
      <c r="V10" t="str">
        <f>_xlfn.XLOOKUP(U10, Mapping!$A$2:$A$48, Mapping!$B$2:$B$48, "Unknown County")</f>
        <v>Rift Valley</v>
      </c>
    </row>
    <row r="11" spans="1:22" x14ac:dyDescent="0.3">
      <c r="A11" t="s">
        <v>75</v>
      </c>
      <c r="B11" t="s">
        <v>31</v>
      </c>
      <c r="C11" s="3">
        <v>44471</v>
      </c>
      <c r="D11" t="s">
        <v>22</v>
      </c>
      <c r="E11" t="s">
        <v>28</v>
      </c>
      <c r="F11" s="7">
        <v>25</v>
      </c>
      <c r="H11" t="s">
        <v>76</v>
      </c>
      <c r="I11" t="s">
        <v>39</v>
      </c>
      <c r="J11" t="s">
        <v>25</v>
      </c>
      <c r="K11" t="s">
        <v>26</v>
      </c>
      <c r="L11" t="s">
        <v>59</v>
      </c>
      <c r="M11" t="s">
        <v>34</v>
      </c>
      <c r="N11" t="s">
        <v>35</v>
      </c>
      <c r="O11" s="3"/>
      <c r="Q11" t="s">
        <v>28</v>
      </c>
      <c r="T11" t="s">
        <v>77</v>
      </c>
      <c r="U11" t="s">
        <v>56</v>
      </c>
      <c r="V11" t="str">
        <f>_xlfn.XLOOKUP(U11, Mapping!$A$2:$A$48, Mapping!$B$2:$B$48, "Unknown County")</f>
        <v>Rift Valley</v>
      </c>
    </row>
    <row r="12" spans="1:22" x14ac:dyDescent="0.3">
      <c r="A12" t="s">
        <v>28</v>
      </c>
      <c r="B12" t="s">
        <v>28</v>
      </c>
      <c r="C12" s="3">
        <v>44651</v>
      </c>
      <c r="D12" t="s">
        <v>22</v>
      </c>
      <c r="E12" t="s">
        <v>78</v>
      </c>
      <c r="F12" s="7">
        <v>25</v>
      </c>
      <c r="H12" t="s">
        <v>79</v>
      </c>
      <c r="I12" t="s">
        <v>39</v>
      </c>
      <c r="J12" t="s">
        <v>28</v>
      </c>
      <c r="K12" t="s">
        <v>71</v>
      </c>
      <c r="L12" t="s">
        <v>59</v>
      </c>
      <c r="M12" t="s">
        <v>28</v>
      </c>
      <c r="N12" t="s">
        <v>28</v>
      </c>
      <c r="O12" s="3"/>
      <c r="Q12" t="s">
        <v>28</v>
      </c>
      <c r="T12" t="s">
        <v>80</v>
      </c>
      <c r="U12" t="s">
        <v>56</v>
      </c>
      <c r="V12" t="str">
        <f>_xlfn.XLOOKUP(U12, Mapping!$A$2:$A$48, Mapping!$B$2:$B$48, "Unknown County")</f>
        <v>Rift Valley</v>
      </c>
    </row>
    <row r="13" spans="1:22" x14ac:dyDescent="0.3">
      <c r="A13" t="s">
        <v>81</v>
      </c>
      <c r="B13" t="s">
        <v>21</v>
      </c>
      <c r="C13" s="3">
        <v>44936</v>
      </c>
      <c r="D13" t="s">
        <v>22</v>
      </c>
      <c r="E13" t="s">
        <v>28</v>
      </c>
      <c r="F13" s="7">
        <v>38</v>
      </c>
      <c r="H13" t="s">
        <v>28</v>
      </c>
      <c r="I13" t="s">
        <v>82</v>
      </c>
      <c r="J13" t="s">
        <v>83</v>
      </c>
      <c r="K13" t="s">
        <v>84</v>
      </c>
      <c r="L13" t="s">
        <v>85</v>
      </c>
      <c r="M13" t="s">
        <v>28</v>
      </c>
      <c r="N13" t="s">
        <v>35</v>
      </c>
      <c r="O13" s="3"/>
      <c r="Q13" t="s">
        <v>28</v>
      </c>
      <c r="T13" t="s">
        <v>86</v>
      </c>
      <c r="U13" t="s">
        <v>56</v>
      </c>
      <c r="V13" t="str">
        <f>_xlfn.XLOOKUP(U13, Mapping!$A$2:$A$48, Mapping!$B$2:$B$48, "Unknown County")</f>
        <v>Rift Valley</v>
      </c>
    </row>
    <row r="14" spans="1:22" x14ac:dyDescent="0.3">
      <c r="A14" t="s">
        <v>75</v>
      </c>
      <c r="B14" t="s">
        <v>31</v>
      </c>
      <c r="C14" s="3">
        <v>45260</v>
      </c>
      <c r="D14" t="s">
        <v>22</v>
      </c>
      <c r="E14" t="s">
        <v>28</v>
      </c>
      <c r="F14" s="7"/>
      <c r="H14" t="s">
        <v>87</v>
      </c>
      <c r="I14" t="s">
        <v>39</v>
      </c>
      <c r="J14" t="s">
        <v>88</v>
      </c>
      <c r="K14" t="s">
        <v>71</v>
      </c>
      <c r="L14" t="s">
        <v>40</v>
      </c>
      <c r="M14" t="s">
        <v>89</v>
      </c>
      <c r="N14" t="s">
        <v>35</v>
      </c>
      <c r="O14" s="3"/>
      <c r="Q14" t="s">
        <v>28</v>
      </c>
      <c r="T14" t="s">
        <v>90</v>
      </c>
      <c r="U14" t="s">
        <v>56</v>
      </c>
      <c r="V14" t="str">
        <f>_xlfn.XLOOKUP(U14, Mapping!$A$2:$A$48, Mapping!$B$2:$B$48, "Unknown County")</f>
        <v>Rift Valley</v>
      </c>
    </row>
    <row r="15" spans="1:22" x14ac:dyDescent="0.3">
      <c r="A15" t="s">
        <v>91</v>
      </c>
      <c r="B15" t="s">
        <v>21</v>
      </c>
      <c r="C15" s="3">
        <v>42845</v>
      </c>
      <c r="D15" t="s">
        <v>22</v>
      </c>
      <c r="E15" t="s">
        <v>92</v>
      </c>
      <c r="F15" s="7">
        <v>16</v>
      </c>
      <c r="H15" t="s">
        <v>93</v>
      </c>
      <c r="I15" t="s">
        <v>94</v>
      </c>
      <c r="J15" t="s">
        <v>83</v>
      </c>
      <c r="K15" t="s">
        <v>26</v>
      </c>
      <c r="L15" t="s">
        <v>40</v>
      </c>
      <c r="M15" t="s">
        <v>95</v>
      </c>
      <c r="N15" t="s">
        <v>28</v>
      </c>
      <c r="O15" s="3"/>
      <c r="Q15" t="s">
        <v>28</v>
      </c>
      <c r="T15" t="s">
        <v>96</v>
      </c>
      <c r="U15" t="s">
        <v>97</v>
      </c>
      <c r="V15" t="str">
        <f>_xlfn.XLOOKUP(U15, Mapping!$A$2:$A$48, Mapping!$B$2:$B$48, "Unknown County")</f>
        <v>Western</v>
      </c>
    </row>
    <row r="16" spans="1:22" x14ac:dyDescent="0.3">
      <c r="A16" t="s">
        <v>91</v>
      </c>
      <c r="B16" t="s">
        <v>21</v>
      </c>
      <c r="C16" s="3">
        <v>42838</v>
      </c>
      <c r="D16" t="s">
        <v>22</v>
      </c>
      <c r="E16" t="s">
        <v>98</v>
      </c>
      <c r="F16" s="7">
        <v>28</v>
      </c>
      <c r="H16" t="s">
        <v>99</v>
      </c>
      <c r="I16" t="s">
        <v>39</v>
      </c>
      <c r="J16" t="s">
        <v>25</v>
      </c>
      <c r="K16" t="s">
        <v>26</v>
      </c>
      <c r="L16" t="s">
        <v>59</v>
      </c>
      <c r="M16" t="s">
        <v>34</v>
      </c>
      <c r="N16" t="s">
        <v>28</v>
      </c>
      <c r="O16" s="3"/>
      <c r="Q16" t="s">
        <v>28</v>
      </c>
      <c r="T16" t="s">
        <v>100</v>
      </c>
      <c r="U16" t="s">
        <v>97</v>
      </c>
      <c r="V16" t="str">
        <f>_xlfn.XLOOKUP(U16, Mapping!$A$2:$A$48, Mapping!$B$2:$B$48, "Unknown County")</f>
        <v>Western</v>
      </c>
    </row>
    <row r="17" spans="1:22" x14ac:dyDescent="0.3">
      <c r="A17" t="s">
        <v>28</v>
      </c>
      <c r="B17" t="s">
        <v>21</v>
      </c>
      <c r="C17" s="3">
        <v>43128</v>
      </c>
      <c r="D17" t="s">
        <v>22</v>
      </c>
      <c r="E17" t="s">
        <v>101</v>
      </c>
      <c r="F17" s="7">
        <v>37</v>
      </c>
      <c r="H17" t="s">
        <v>102</v>
      </c>
      <c r="I17" t="s">
        <v>39</v>
      </c>
      <c r="J17" t="s">
        <v>25</v>
      </c>
      <c r="K17" t="s">
        <v>26</v>
      </c>
      <c r="L17" t="s">
        <v>40</v>
      </c>
      <c r="M17" t="s">
        <v>34</v>
      </c>
      <c r="N17" t="s">
        <v>35</v>
      </c>
      <c r="O17" s="3"/>
      <c r="Q17" t="s">
        <v>28</v>
      </c>
      <c r="T17" t="s">
        <v>28</v>
      </c>
      <c r="U17" t="s">
        <v>97</v>
      </c>
      <c r="V17" t="str">
        <f>_xlfn.XLOOKUP(U17, Mapping!$A$2:$A$48, Mapping!$B$2:$B$48, "Unknown County")</f>
        <v>Western</v>
      </c>
    </row>
    <row r="18" spans="1:22" x14ac:dyDescent="0.3">
      <c r="A18" t="s">
        <v>103</v>
      </c>
      <c r="B18" t="s">
        <v>58</v>
      </c>
      <c r="C18" s="3">
        <v>43154</v>
      </c>
      <c r="D18" t="s">
        <v>22</v>
      </c>
      <c r="E18" t="s">
        <v>104</v>
      </c>
      <c r="F18" s="7"/>
      <c r="H18" t="s">
        <v>105</v>
      </c>
      <c r="I18" t="s">
        <v>70</v>
      </c>
      <c r="J18" t="s">
        <v>25</v>
      </c>
      <c r="K18" t="s">
        <v>106</v>
      </c>
      <c r="L18" t="s">
        <v>59</v>
      </c>
      <c r="M18" t="s">
        <v>60</v>
      </c>
      <c r="N18" t="s">
        <v>35</v>
      </c>
      <c r="O18" s="3"/>
      <c r="Q18" t="s">
        <v>28</v>
      </c>
      <c r="T18" t="s">
        <v>107</v>
      </c>
      <c r="U18" t="s">
        <v>97</v>
      </c>
      <c r="V18" t="str">
        <f>_xlfn.XLOOKUP(U18, Mapping!$A$2:$A$48, Mapping!$B$2:$B$48, "Unknown County")</f>
        <v>Western</v>
      </c>
    </row>
    <row r="19" spans="1:22" x14ac:dyDescent="0.3">
      <c r="A19" t="s">
        <v>91</v>
      </c>
      <c r="B19" t="s">
        <v>21</v>
      </c>
      <c r="C19" s="3">
        <v>43295</v>
      </c>
      <c r="D19" t="s">
        <v>22</v>
      </c>
      <c r="E19" t="s">
        <v>28</v>
      </c>
      <c r="F19" s="7">
        <v>33</v>
      </c>
      <c r="H19" t="s">
        <v>108</v>
      </c>
      <c r="I19" t="s">
        <v>39</v>
      </c>
      <c r="J19" t="s">
        <v>25</v>
      </c>
      <c r="K19" t="s">
        <v>26</v>
      </c>
      <c r="L19" t="s">
        <v>33</v>
      </c>
      <c r="M19" t="s">
        <v>34</v>
      </c>
      <c r="N19" t="s">
        <v>35</v>
      </c>
      <c r="O19" s="3"/>
      <c r="Q19" t="s">
        <v>28</v>
      </c>
      <c r="T19" t="s">
        <v>109</v>
      </c>
      <c r="U19" t="s">
        <v>97</v>
      </c>
      <c r="V19" t="str">
        <f>_xlfn.XLOOKUP(U19, Mapping!$A$2:$A$48, Mapping!$B$2:$B$48, "Unknown County")</f>
        <v>Western</v>
      </c>
    </row>
    <row r="20" spans="1:22" x14ac:dyDescent="0.3">
      <c r="A20" t="s">
        <v>91</v>
      </c>
      <c r="B20" t="s">
        <v>21</v>
      </c>
      <c r="C20" s="3">
        <v>43295</v>
      </c>
      <c r="D20" t="s">
        <v>22</v>
      </c>
      <c r="E20" t="s">
        <v>28</v>
      </c>
      <c r="F20" s="7">
        <v>33</v>
      </c>
      <c r="H20" t="s">
        <v>108</v>
      </c>
      <c r="I20" t="s">
        <v>39</v>
      </c>
      <c r="J20" t="s">
        <v>25</v>
      </c>
      <c r="K20" t="s">
        <v>26</v>
      </c>
      <c r="L20" t="s">
        <v>110</v>
      </c>
      <c r="M20" t="s">
        <v>34</v>
      </c>
      <c r="N20" t="s">
        <v>35</v>
      </c>
      <c r="O20" s="3"/>
      <c r="Q20" t="s">
        <v>28</v>
      </c>
      <c r="T20" t="s">
        <v>111</v>
      </c>
      <c r="U20" t="s">
        <v>97</v>
      </c>
      <c r="V20" t="str">
        <f>_xlfn.XLOOKUP(U20, Mapping!$A$2:$A$48, Mapping!$B$2:$B$48, "Unknown County")</f>
        <v>Western</v>
      </c>
    </row>
    <row r="21" spans="1:22" x14ac:dyDescent="0.3">
      <c r="A21" t="s">
        <v>91</v>
      </c>
      <c r="B21" t="s">
        <v>21</v>
      </c>
      <c r="C21" s="3">
        <v>43387</v>
      </c>
      <c r="D21" t="s">
        <v>22</v>
      </c>
      <c r="E21" t="s">
        <v>112</v>
      </c>
      <c r="F21" s="7"/>
      <c r="H21" t="s">
        <v>28</v>
      </c>
      <c r="I21" t="s">
        <v>82</v>
      </c>
      <c r="J21" t="s">
        <v>28</v>
      </c>
      <c r="K21" t="s">
        <v>26</v>
      </c>
      <c r="L21" t="s">
        <v>59</v>
      </c>
      <c r="M21" t="s">
        <v>28</v>
      </c>
      <c r="N21" t="s">
        <v>35</v>
      </c>
      <c r="O21" s="3"/>
      <c r="Q21" t="s">
        <v>28</v>
      </c>
      <c r="T21" t="s">
        <v>28</v>
      </c>
      <c r="U21" t="s">
        <v>97</v>
      </c>
      <c r="V21" t="str">
        <f>_xlfn.XLOOKUP(U21, Mapping!$A$2:$A$48, Mapping!$B$2:$B$48, "Unknown County")</f>
        <v>Western</v>
      </c>
    </row>
    <row r="22" spans="1:22" x14ac:dyDescent="0.3">
      <c r="A22" t="s">
        <v>103</v>
      </c>
      <c r="B22" t="s">
        <v>58</v>
      </c>
      <c r="C22" s="3">
        <v>43403</v>
      </c>
      <c r="D22" t="s">
        <v>22</v>
      </c>
      <c r="E22" t="s">
        <v>113</v>
      </c>
      <c r="F22" s="7"/>
      <c r="H22" t="s">
        <v>28</v>
      </c>
      <c r="I22" t="s">
        <v>82</v>
      </c>
      <c r="J22" t="s">
        <v>28</v>
      </c>
      <c r="K22" t="s">
        <v>84</v>
      </c>
      <c r="L22" t="s">
        <v>33</v>
      </c>
      <c r="M22" t="s">
        <v>28</v>
      </c>
      <c r="N22" t="s">
        <v>35</v>
      </c>
      <c r="O22" s="3"/>
      <c r="Q22" t="s">
        <v>28</v>
      </c>
      <c r="T22" t="s">
        <v>114</v>
      </c>
      <c r="U22" t="s">
        <v>97</v>
      </c>
      <c r="V22" t="str">
        <f>_xlfn.XLOOKUP(U22, Mapping!$A$2:$A$48, Mapping!$B$2:$B$48, "Unknown County")</f>
        <v>Western</v>
      </c>
    </row>
    <row r="23" spans="1:22" x14ac:dyDescent="0.3">
      <c r="A23" t="s">
        <v>28</v>
      </c>
      <c r="B23" t="s">
        <v>115</v>
      </c>
      <c r="D23" t="s">
        <v>22</v>
      </c>
      <c r="E23" t="s">
        <v>116</v>
      </c>
      <c r="F23" s="7">
        <v>42</v>
      </c>
      <c r="H23" t="s">
        <v>28</v>
      </c>
      <c r="I23" t="s">
        <v>70</v>
      </c>
      <c r="J23" t="s">
        <v>28</v>
      </c>
      <c r="K23" t="s">
        <v>28</v>
      </c>
      <c r="L23" t="s">
        <v>46</v>
      </c>
      <c r="M23" t="s">
        <v>28</v>
      </c>
      <c r="N23" t="s">
        <v>28</v>
      </c>
      <c r="O23" s="3"/>
      <c r="Q23" t="s">
        <v>28</v>
      </c>
      <c r="T23" t="s">
        <v>117</v>
      </c>
      <c r="U23" t="s">
        <v>97</v>
      </c>
      <c r="V23" t="str">
        <f>_xlfn.XLOOKUP(U23, Mapping!$A$2:$A$48, Mapping!$B$2:$B$48, "Unknown County")</f>
        <v>Western</v>
      </c>
    </row>
    <row r="24" spans="1:22" x14ac:dyDescent="0.3">
      <c r="A24" t="s">
        <v>118</v>
      </c>
      <c r="B24" t="s">
        <v>21</v>
      </c>
      <c r="C24" s="3">
        <v>45139</v>
      </c>
      <c r="D24" t="s">
        <v>22</v>
      </c>
      <c r="E24" t="s">
        <v>119</v>
      </c>
      <c r="F24" s="7"/>
      <c r="H24" t="s">
        <v>120</v>
      </c>
      <c r="I24" t="s">
        <v>39</v>
      </c>
      <c r="J24" t="s">
        <v>88</v>
      </c>
      <c r="K24" t="s">
        <v>71</v>
      </c>
      <c r="L24" t="s">
        <v>40</v>
      </c>
      <c r="M24" t="s">
        <v>28</v>
      </c>
      <c r="N24" t="s">
        <v>35</v>
      </c>
      <c r="O24" s="3"/>
      <c r="Q24" t="s">
        <v>28</v>
      </c>
      <c r="T24" t="s">
        <v>121</v>
      </c>
      <c r="U24" t="s">
        <v>97</v>
      </c>
      <c r="V24" t="str">
        <f>_xlfn.XLOOKUP(U24, Mapping!$A$2:$A$48, Mapping!$B$2:$B$48, "Unknown County")</f>
        <v>Western</v>
      </c>
    </row>
    <row r="25" spans="1:22" x14ac:dyDescent="0.3">
      <c r="A25" t="s">
        <v>20</v>
      </c>
      <c r="B25" t="s">
        <v>21</v>
      </c>
      <c r="C25" s="3">
        <v>43934</v>
      </c>
      <c r="D25" t="s">
        <v>22</v>
      </c>
      <c r="E25" t="s">
        <v>122</v>
      </c>
      <c r="F25" s="7"/>
      <c r="H25" t="s">
        <v>123</v>
      </c>
      <c r="I25" t="s">
        <v>39</v>
      </c>
      <c r="J25" t="s">
        <v>25</v>
      </c>
      <c r="K25" t="s">
        <v>26</v>
      </c>
      <c r="L25" t="s">
        <v>40</v>
      </c>
      <c r="M25" t="s">
        <v>34</v>
      </c>
      <c r="N25" t="s">
        <v>28</v>
      </c>
      <c r="O25" s="3"/>
      <c r="P25" s="3">
        <v>43934</v>
      </c>
      <c r="Q25" t="s">
        <v>29</v>
      </c>
      <c r="S25" s="7">
        <v>944</v>
      </c>
      <c r="T25" t="s">
        <v>124</v>
      </c>
      <c r="U25" t="s">
        <v>125</v>
      </c>
      <c r="V25" t="str">
        <f>_xlfn.XLOOKUP(U25, Mapping!$A$2:$A$48, Mapping!$B$2:$B$48, "Unknown County")</f>
        <v>Western</v>
      </c>
    </row>
    <row r="26" spans="1:22" x14ac:dyDescent="0.3">
      <c r="A26" t="s">
        <v>126</v>
      </c>
      <c r="B26" t="s">
        <v>21</v>
      </c>
      <c r="C26" s="3">
        <v>44119</v>
      </c>
      <c r="D26" t="s">
        <v>22</v>
      </c>
      <c r="E26" t="s">
        <v>127</v>
      </c>
      <c r="F26" s="7"/>
      <c r="H26" t="s">
        <v>128</v>
      </c>
      <c r="I26" t="s">
        <v>39</v>
      </c>
      <c r="J26" t="s">
        <v>25</v>
      </c>
      <c r="K26" t="s">
        <v>26</v>
      </c>
      <c r="L26" t="s">
        <v>40</v>
      </c>
      <c r="M26" t="s">
        <v>34</v>
      </c>
      <c r="N26" t="s">
        <v>28</v>
      </c>
      <c r="O26" s="3"/>
      <c r="Q26" t="s">
        <v>29</v>
      </c>
      <c r="S26" s="7">
        <v>308</v>
      </c>
      <c r="T26" t="s">
        <v>129</v>
      </c>
      <c r="U26" t="s">
        <v>125</v>
      </c>
      <c r="V26" t="str">
        <f>_xlfn.XLOOKUP(U26, Mapping!$A$2:$A$48, Mapping!$B$2:$B$48, "Unknown County")</f>
        <v>Western</v>
      </c>
    </row>
    <row r="27" spans="1:22" x14ac:dyDescent="0.3">
      <c r="A27" t="s">
        <v>130</v>
      </c>
      <c r="B27" t="s">
        <v>58</v>
      </c>
      <c r="C27" s="3">
        <v>44514</v>
      </c>
      <c r="D27" t="s">
        <v>22</v>
      </c>
      <c r="E27" t="s">
        <v>131</v>
      </c>
      <c r="F27" s="7"/>
      <c r="H27" t="s">
        <v>132</v>
      </c>
      <c r="I27" t="s">
        <v>70</v>
      </c>
      <c r="J27" t="s">
        <v>25</v>
      </c>
      <c r="K27" t="s">
        <v>26</v>
      </c>
      <c r="L27" t="s">
        <v>40</v>
      </c>
      <c r="M27" t="s">
        <v>28</v>
      </c>
      <c r="N27" t="s">
        <v>1384</v>
      </c>
      <c r="O27" s="3"/>
      <c r="Q27" t="s">
        <v>28</v>
      </c>
      <c r="T27" t="s">
        <v>133</v>
      </c>
      <c r="U27" t="s">
        <v>125</v>
      </c>
      <c r="V27" t="str">
        <f>_xlfn.XLOOKUP(U27, Mapping!$A$2:$A$48, Mapping!$B$2:$B$48, "Unknown County")</f>
        <v>Western</v>
      </c>
    </row>
    <row r="28" spans="1:22" x14ac:dyDescent="0.3">
      <c r="A28" t="s">
        <v>134</v>
      </c>
      <c r="B28" t="s">
        <v>135</v>
      </c>
      <c r="C28" s="3">
        <v>44322</v>
      </c>
      <c r="D28" t="s">
        <v>22</v>
      </c>
      <c r="E28" t="s">
        <v>136</v>
      </c>
      <c r="F28" s="7"/>
      <c r="G28" s="3">
        <v>44322</v>
      </c>
      <c r="H28" t="s">
        <v>28</v>
      </c>
      <c r="I28" t="s">
        <v>39</v>
      </c>
      <c r="J28" t="s">
        <v>28</v>
      </c>
      <c r="K28" t="s">
        <v>71</v>
      </c>
      <c r="L28" t="s">
        <v>59</v>
      </c>
      <c r="M28" t="s">
        <v>28</v>
      </c>
      <c r="N28" t="s">
        <v>28</v>
      </c>
      <c r="O28" s="3"/>
      <c r="Q28" t="s">
        <v>28</v>
      </c>
      <c r="T28" t="s">
        <v>137</v>
      </c>
      <c r="U28" t="s">
        <v>125</v>
      </c>
      <c r="V28" t="str">
        <f>_xlfn.XLOOKUP(U28, Mapping!$A$2:$A$48, Mapping!$B$2:$B$48, "Unknown County")</f>
        <v>Western</v>
      </c>
    </row>
    <row r="29" spans="1:22" x14ac:dyDescent="0.3">
      <c r="A29" t="s">
        <v>138</v>
      </c>
      <c r="B29" t="s">
        <v>31</v>
      </c>
      <c r="C29" s="3">
        <v>44371</v>
      </c>
      <c r="D29" t="s">
        <v>22</v>
      </c>
      <c r="E29" t="s">
        <v>28</v>
      </c>
      <c r="F29" s="7"/>
      <c r="H29" t="s">
        <v>28</v>
      </c>
      <c r="I29" t="s">
        <v>39</v>
      </c>
      <c r="J29" t="s">
        <v>25</v>
      </c>
      <c r="K29" t="s">
        <v>26</v>
      </c>
      <c r="L29" t="s">
        <v>139</v>
      </c>
      <c r="M29" t="s">
        <v>34</v>
      </c>
      <c r="N29" t="s">
        <v>140</v>
      </c>
      <c r="O29" s="3"/>
      <c r="Q29" t="s">
        <v>28</v>
      </c>
      <c r="T29" t="s">
        <v>141</v>
      </c>
      <c r="U29" t="s">
        <v>125</v>
      </c>
      <c r="V29" t="str">
        <f>_xlfn.XLOOKUP(U29, Mapping!$A$2:$A$48, Mapping!$B$2:$B$48, "Unknown County")</f>
        <v>Western</v>
      </c>
    </row>
    <row r="30" spans="1:22" x14ac:dyDescent="0.3">
      <c r="A30" t="s">
        <v>142</v>
      </c>
      <c r="B30" t="s">
        <v>143</v>
      </c>
      <c r="C30" s="3">
        <v>45259</v>
      </c>
      <c r="D30" t="s">
        <v>22</v>
      </c>
      <c r="E30" t="s">
        <v>144</v>
      </c>
      <c r="F30" s="7"/>
      <c r="H30" t="s">
        <v>145</v>
      </c>
      <c r="I30" t="s">
        <v>39</v>
      </c>
      <c r="J30" t="s">
        <v>88</v>
      </c>
      <c r="K30" t="s">
        <v>71</v>
      </c>
      <c r="L30" t="s">
        <v>139</v>
      </c>
      <c r="M30" t="s">
        <v>28</v>
      </c>
      <c r="N30" t="s">
        <v>35</v>
      </c>
      <c r="O30" s="3"/>
      <c r="Q30" t="s">
        <v>28</v>
      </c>
      <c r="T30" t="s">
        <v>146</v>
      </c>
      <c r="U30" t="s">
        <v>1513</v>
      </c>
      <c r="V30" t="str">
        <f>_xlfn.XLOOKUP(U30, Mapping!$A$2:$A$48, Mapping!$B$2:$B$48, "Unknown County")</f>
        <v>Rift Valley</v>
      </c>
    </row>
    <row r="31" spans="1:22" x14ac:dyDescent="0.3">
      <c r="A31" t="s">
        <v>147</v>
      </c>
      <c r="B31" t="s">
        <v>21</v>
      </c>
      <c r="C31" s="3">
        <v>43262</v>
      </c>
      <c r="D31" t="s">
        <v>22</v>
      </c>
      <c r="E31" t="s">
        <v>148</v>
      </c>
      <c r="F31" s="7">
        <v>26</v>
      </c>
      <c r="H31" t="s">
        <v>149</v>
      </c>
      <c r="I31" t="s">
        <v>39</v>
      </c>
      <c r="J31" t="s">
        <v>25</v>
      </c>
      <c r="K31" t="s">
        <v>26</v>
      </c>
      <c r="L31" t="s">
        <v>59</v>
      </c>
      <c r="M31" t="s">
        <v>34</v>
      </c>
      <c r="N31" t="s">
        <v>35</v>
      </c>
      <c r="O31" s="3"/>
      <c r="Q31" t="s">
        <v>28</v>
      </c>
      <c r="T31" t="s">
        <v>150</v>
      </c>
      <c r="U31" t="s">
        <v>151</v>
      </c>
      <c r="V31" t="str">
        <f>_xlfn.XLOOKUP(U31, Mapping!$A$2:$A$48, Mapping!$B$2:$B$48, "Unknown County")</f>
        <v>Rift Valley</v>
      </c>
    </row>
    <row r="32" spans="1:22" x14ac:dyDescent="0.3">
      <c r="A32" t="s">
        <v>152</v>
      </c>
      <c r="B32" t="s">
        <v>58</v>
      </c>
      <c r="C32" s="3">
        <v>43276</v>
      </c>
      <c r="D32" t="s">
        <v>22</v>
      </c>
      <c r="E32" t="s">
        <v>153</v>
      </c>
      <c r="F32" s="7">
        <v>22</v>
      </c>
      <c r="H32" t="s">
        <v>154</v>
      </c>
      <c r="I32" t="s">
        <v>39</v>
      </c>
      <c r="J32" t="s">
        <v>25</v>
      </c>
      <c r="K32" t="s">
        <v>26</v>
      </c>
      <c r="L32" t="s">
        <v>33</v>
      </c>
      <c r="M32" t="s">
        <v>34</v>
      </c>
      <c r="N32" t="s">
        <v>35</v>
      </c>
      <c r="O32" s="3"/>
      <c r="Q32" t="s">
        <v>28</v>
      </c>
      <c r="T32" t="s">
        <v>155</v>
      </c>
      <c r="U32" t="s">
        <v>151</v>
      </c>
      <c r="V32" t="str">
        <f>_xlfn.XLOOKUP(U32, Mapping!$A$2:$A$48, Mapping!$B$2:$B$48, "Unknown County")</f>
        <v>Rift Valley</v>
      </c>
    </row>
    <row r="33" spans="1:22" x14ac:dyDescent="0.3">
      <c r="A33" t="s">
        <v>156</v>
      </c>
      <c r="B33" t="s">
        <v>58</v>
      </c>
      <c r="C33" s="3">
        <v>44337</v>
      </c>
      <c r="D33" t="s">
        <v>22</v>
      </c>
      <c r="E33" t="s">
        <v>28</v>
      </c>
      <c r="F33" s="7">
        <v>23</v>
      </c>
      <c r="G33" s="3">
        <v>44336</v>
      </c>
      <c r="H33" t="s">
        <v>28</v>
      </c>
      <c r="I33" t="s">
        <v>39</v>
      </c>
      <c r="J33" t="s">
        <v>25</v>
      </c>
      <c r="K33" t="s">
        <v>26</v>
      </c>
      <c r="L33" t="s">
        <v>33</v>
      </c>
      <c r="M33" t="s">
        <v>34</v>
      </c>
      <c r="N33" t="s">
        <v>35</v>
      </c>
      <c r="O33" s="3"/>
      <c r="Q33" t="s">
        <v>28</v>
      </c>
      <c r="T33" t="s">
        <v>157</v>
      </c>
      <c r="U33" t="s">
        <v>151</v>
      </c>
      <c r="V33" t="str">
        <f>_xlfn.XLOOKUP(U33, Mapping!$A$2:$A$48, Mapping!$B$2:$B$48, "Unknown County")</f>
        <v>Rift Valley</v>
      </c>
    </row>
    <row r="34" spans="1:22" x14ac:dyDescent="0.3">
      <c r="A34" t="s">
        <v>158</v>
      </c>
      <c r="B34" t="s">
        <v>159</v>
      </c>
      <c r="C34" s="3">
        <v>44487</v>
      </c>
      <c r="D34" t="s">
        <v>22</v>
      </c>
      <c r="E34" t="s">
        <v>160</v>
      </c>
      <c r="F34" s="7">
        <v>25</v>
      </c>
      <c r="H34" t="s">
        <v>161</v>
      </c>
      <c r="I34" t="s">
        <v>39</v>
      </c>
      <c r="J34" t="s">
        <v>25</v>
      </c>
      <c r="K34" t="s">
        <v>26</v>
      </c>
      <c r="L34" t="s">
        <v>59</v>
      </c>
      <c r="M34" t="s">
        <v>28</v>
      </c>
      <c r="N34" t="s">
        <v>1384</v>
      </c>
      <c r="O34" s="3">
        <v>44487</v>
      </c>
      <c r="Q34" t="s">
        <v>28</v>
      </c>
      <c r="T34" t="s">
        <v>162</v>
      </c>
      <c r="U34" t="s">
        <v>151</v>
      </c>
      <c r="V34" t="str">
        <f>_xlfn.XLOOKUP(U34, Mapping!$A$2:$A$48, Mapping!$B$2:$B$48, "Unknown County")</f>
        <v>Rift Valley</v>
      </c>
    </row>
    <row r="35" spans="1:22" x14ac:dyDescent="0.3">
      <c r="A35" t="s">
        <v>147</v>
      </c>
      <c r="B35" t="s">
        <v>58</v>
      </c>
      <c r="C35" s="3">
        <v>44670</v>
      </c>
      <c r="D35" t="s">
        <v>22</v>
      </c>
      <c r="E35" t="s">
        <v>163</v>
      </c>
      <c r="F35" s="7"/>
      <c r="H35" t="s">
        <v>164</v>
      </c>
      <c r="I35" t="s">
        <v>70</v>
      </c>
      <c r="J35" t="s">
        <v>25</v>
      </c>
      <c r="K35" t="s">
        <v>26</v>
      </c>
      <c r="L35" t="s">
        <v>165</v>
      </c>
      <c r="M35" t="s">
        <v>28</v>
      </c>
      <c r="N35" t="s">
        <v>35</v>
      </c>
      <c r="O35" s="3"/>
      <c r="Q35" t="s">
        <v>28</v>
      </c>
      <c r="T35" t="s">
        <v>162</v>
      </c>
      <c r="U35" t="s">
        <v>151</v>
      </c>
      <c r="V35" t="str">
        <f>_xlfn.XLOOKUP(U35, Mapping!$A$2:$A$48, Mapping!$B$2:$B$48, "Unknown County")</f>
        <v>Rift Valley</v>
      </c>
    </row>
    <row r="36" spans="1:22" x14ac:dyDescent="0.3">
      <c r="A36" t="s">
        <v>166</v>
      </c>
      <c r="B36" t="s">
        <v>28</v>
      </c>
      <c r="C36" s="3">
        <v>44688</v>
      </c>
      <c r="D36" t="s">
        <v>22</v>
      </c>
      <c r="E36" t="s">
        <v>167</v>
      </c>
      <c r="F36" s="7">
        <v>38</v>
      </c>
      <c r="H36" t="s">
        <v>168</v>
      </c>
      <c r="I36" t="s">
        <v>39</v>
      </c>
      <c r="J36" t="s">
        <v>28</v>
      </c>
      <c r="K36" t="s">
        <v>71</v>
      </c>
      <c r="L36" t="s">
        <v>59</v>
      </c>
      <c r="M36" t="s">
        <v>28</v>
      </c>
      <c r="N36" t="s">
        <v>28</v>
      </c>
      <c r="O36" s="3"/>
      <c r="Q36" t="s">
        <v>28</v>
      </c>
      <c r="T36" t="s">
        <v>169</v>
      </c>
      <c r="U36" t="s">
        <v>151</v>
      </c>
      <c r="V36" t="str">
        <f>_xlfn.XLOOKUP(U36, Mapping!$A$2:$A$48, Mapping!$B$2:$B$48, "Unknown County")</f>
        <v>Rift Valley</v>
      </c>
    </row>
    <row r="37" spans="1:22" x14ac:dyDescent="0.3">
      <c r="A37" t="s">
        <v>170</v>
      </c>
      <c r="B37" t="s">
        <v>171</v>
      </c>
      <c r="C37" s="3">
        <v>42827</v>
      </c>
      <c r="D37" t="s">
        <v>22</v>
      </c>
      <c r="E37" t="s">
        <v>28</v>
      </c>
      <c r="F37" s="7">
        <v>80</v>
      </c>
      <c r="H37" t="s">
        <v>28</v>
      </c>
      <c r="I37" t="s">
        <v>82</v>
      </c>
      <c r="J37" t="s">
        <v>172</v>
      </c>
      <c r="K37" t="s">
        <v>26</v>
      </c>
      <c r="L37" t="s">
        <v>173</v>
      </c>
      <c r="M37" t="s">
        <v>28</v>
      </c>
      <c r="N37" t="s">
        <v>174</v>
      </c>
      <c r="O37" s="3"/>
      <c r="Q37" t="s">
        <v>28</v>
      </c>
      <c r="T37" t="s">
        <v>175</v>
      </c>
      <c r="U37" t="s">
        <v>176</v>
      </c>
      <c r="V37" t="str">
        <f>_xlfn.XLOOKUP(U37, Mapping!$A$2:$A$48, Mapping!$B$2:$B$48, "Unknown County")</f>
        <v>Eastern</v>
      </c>
    </row>
    <row r="38" spans="1:22" x14ac:dyDescent="0.3">
      <c r="A38" t="s">
        <v>177</v>
      </c>
      <c r="B38" t="s">
        <v>21</v>
      </c>
      <c r="C38" s="3">
        <v>43231</v>
      </c>
      <c r="D38" t="s">
        <v>22</v>
      </c>
      <c r="E38" t="s">
        <v>178</v>
      </c>
      <c r="F38" s="7"/>
      <c r="H38" t="s">
        <v>179</v>
      </c>
      <c r="I38" t="s">
        <v>1585</v>
      </c>
      <c r="J38" t="s">
        <v>25</v>
      </c>
      <c r="K38" t="s">
        <v>26</v>
      </c>
      <c r="L38" t="s">
        <v>46</v>
      </c>
      <c r="M38" t="s">
        <v>34</v>
      </c>
      <c r="N38" t="s">
        <v>28</v>
      </c>
      <c r="O38" s="3"/>
      <c r="Q38" t="s">
        <v>28</v>
      </c>
      <c r="T38" t="s">
        <v>180</v>
      </c>
      <c r="U38" t="s">
        <v>176</v>
      </c>
      <c r="V38" t="str">
        <f>_xlfn.XLOOKUP(U38, Mapping!$A$2:$A$48, Mapping!$B$2:$B$48, "Unknown County")</f>
        <v>Eastern</v>
      </c>
    </row>
    <row r="39" spans="1:22" x14ac:dyDescent="0.3">
      <c r="A39" t="s">
        <v>181</v>
      </c>
      <c r="B39" t="s">
        <v>63</v>
      </c>
      <c r="C39" s="3">
        <v>43264</v>
      </c>
      <c r="D39" t="s">
        <v>22</v>
      </c>
      <c r="E39" t="s">
        <v>182</v>
      </c>
      <c r="F39" s="7">
        <v>93</v>
      </c>
      <c r="H39" t="s">
        <v>28</v>
      </c>
      <c r="I39" t="s">
        <v>82</v>
      </c>
      <c r="J39" t="s">
        <v>28</v>
      </c>
      <c r="K39" t="s">
        <v>26</v>
      </c>
      <c r="L39" t="s">
        <v>59</v>
      </c>
      <c r="M39" t="s">
        <v>183</v>
      </c>
      <c r="N39" t="s">
        <v>35</v>
      </c>
      <c r="O39" s="3"/>
      <c r="Q39" t="s">
        <v>28</v>
      </c>
      <c r="T39" t="s">
        <v>184</v>
      </c>
      <c r="U39" t="s">
        <v>176</v>
      </c>
      <c r="V39" t="str">
        <f>_xlfn.XLOOKUP(U39, Mapping!$A$2:$A$48, Mapping!$B$2:$B$48, "Unknown County")</f>
        <v>Eastern</v>
      </c>
    </row>
    <row r="40" spans="1:22" x14ac:dyDescent="0.3">
      <c r="A40" t="s">
        <v>185</v>
      </c>
      <c r="B40" t="s">
        <v>63</v>
      </c>
      <c r="C40" s="3">
        <v>43896</v>
      </c>
      <c r="D40" t="s">
        <v>22</v>
      </c>
      <c r="E40" t="s">
        <v>28</v>
      </c>
      <c r="F40" s="7">
        <v>44</v>
      </c>
      <c r="H40" t="s">
        <v>28</v>
      </c>
      <c r="I40" t="s">
        <v>186</v>
      </c>
      <c r="J40" t="s">
        <v>83</v>
      </c>
      <c r="K40" t="s">
        <v>26</v>
      </c>
      <c r="L40" t="s">
        <v>165</v>
      </c>
      <c r="M40" t="s">
        <v>28</v>
      </c>
      <c r="N40" t="s">
        <v>35</v>
      </c>
      <c r="O40" s="3"/>
      <c r="Q40" t="s">
        <v>28</v>
      </c>
      <c r="T40" t="s">
        <v>187</v>
      </c>
      <c r="U40" t="s">
        <v>176</v>
      </c>
      <c r="V40" t="str">
        <f>_xlfn.XLOOKUP(U40, Mapping!$A$2:$A$48, Mapping!$B$2:$B$48, "Unknown County")</f>
        <v>Eastern</v>
      </c>
    </row>
    <row r="41" spans="1:22" x14ac:dyDescent="0.3">
      <c r="A41" t="s">
        <v>177</v>
      </c>
      <c r="B41" t="s">
        <v>21</v>
      </c>
      <c r="C41" s="3">
        <v>43948</v>
      </c>
      <c r="D41" t="s">
        <v>22</v>
      </c>
      <c r="E41" t="s">
        <v>188</v>
      </c>
      <c r="F41" s="7">
        <v>58</v>
      </c>
      <c r="H41" t="s">
        <v>28</v>
      </c>
      <c r="I41" t="s">
        <v>82</v>
      </c>
      <c r="J41" t="s">
        <v>28</v>
      </c>
      <c r="K41" t="s">
        <v>84</v>
      </c>
      <c r="L41" t="s">
        <v>173</v>
      </c>
      <c r="M41" t="s">
        <v>28</v>
      </c>
      <c r="N41" t="s">
        <v>35</v>
      </c>
      <c r="O41" s="3"/>
      <c r="Q41" t="s">
        <v>28</v>
      </c>
      <c r="T41" t="s">
        <v>189</v>
      </c>
      <c r="U41" t="s">
        <v>176</v>
      </c>
      <c r="V41" t="str">
        <f>_xlfn.XLOOKUP(U41, Mapping!$A$2:$A$48, Mapping!$B$2:$B$48, "Unknown County")</f>
        <v>Eastern</v>
      </c>
    </row>
    <row r="42" spans="1:22" x14ac:dyDescent="0.3">
      <c r="A42" t="s">
        <v>28</v>
      </c>
      <c r="B42" t="s">
        <v>63</v>
      </c>
      <c r="C42" s="3">
        <v>44024</v>
      </c>
      <c r="D42" t="s">
        <v>22</v>
      </c>
      <c r="E42" t="s">
        <v>190</v>
      </c>
      <c r="F42" s="7"/>
      <c r="H42" t="s">
        <v>28</v>
      </c>
      <c r="I42" t="s">
        <v>39</v>
      </c>
      <c r="J42" t="s">
        <v>25</v>
      </c>
      <c r="K42" t="s">
        <v>26</v>
      </c>
      <c r="L42" t="s">
        <v>59</v>
      </c>
      <c r="M42" t="s">
        <v>34</v>
      </c>
      <c r="N42" t="s">
        <v>35</v>
      </c>
      <c r="O42" s="3"/>
      <c r="Q42" t="s">
        <v>28</v>
      </c>
      <c r="T42" t="s">
        <v>191</v>
      </c>
      <c r="U42" t="s">
        <v>176</v>
      </c>
      <c r="V42" t="str">
        <f>_xlfn.XLOOKUP(U42, Mapping!$A$2:$A$48, Mapping!$B$2:$B$48, "Unknown County")</f>
        <v>Eastern</v>
      </c>
    </row>
    <row r="43" spans="1:22" x14ac:dyDescent="0.3">
      <c r="A43" t="s">
        <v>192</v>
      </c>
      <c r="B43" t="s">
        <v>21</v>
      </c>
      <c r="C43" s="3">
        <v>44234</v>
      </c>
      <c r="D43" t="s">
        <v>22</v>
      </c>
      <c r="E43" t="s">
        <v>28</v>
      </c>
      <c r="F43" s="7">
        <v>28</v>
      </c>
      <c r="H43" t="s">
        <v>28</v>
      </c>
      <c r="I43" t="s">
        <v>39</v>
      </c>
      <c r="J43" t="s">
        <v>25</v>
      </c>
      <c r="K43" t="s">
        <v>26</v>
      </c>
      <c r="L43" t="s">
        <v>40</v>
      </c>
      <c r="M43" t="s">
        <v>28</v>
      </c>
      <c r="N43" t="s">
        <v>35</v>
      </c>
      <c r="O43" s="3"/>
      <c r="Q43" t="s">
        <v>28</v>
      </c>
      <c r="T43" t="s">
        <v>193</v>
      </c>
      <c r="U43" t="s">
        <v>176</v>
      </c>
      <c r="V43" t="str">
        <f>_xlfn.XLOOKUP(U43, Mapping!$A$2:$A$48, Mapping!$B$2:$B$48, "Unknown County")</f>
        <v>Eastern</v>
      </c>
    </row>
    <row r="44" spans="1:22" x14ac:dyDescent="0.3">
      <c r="A44" t="s">
        <v>194</v>
      </c>
      <c r="B44" t="s">
        <v>58</v>
      </c>
      <c r="C44" s="3">
        <v>44539</v>
      </c>
      <c r="D44" t="s">
        <v>22</v>
      </c>
      <c r="E44" t="s">
        <v>195</v>
      </c>
      <c r="F44" s="7">
        <v>39</v>
      </c>
      <c r="H44" t="s">
        <v>196</v>
      </c>
      <c r="I44" t="s">
        <v>70</v>
      </c>
      <c r="J44" t="s">
        <v>25</v>
      </c>
      <c r="K44" t="s">
        <v>26</v>
      </c>
      <c r="L44" t="s">
        <v>165</v>
      </c>
      <c r="M44" t="s">
        <v>34</v>
      </c>
      <c r="N44" t="s">
        <v>28</v>
      </c>
      <c r="O44" s="3"/>
      <c r="P44" s="3">
        <v>44539</v>
      </c>
      <c r="Q44" t="s">
        <v>29</v>
      </c>
      <c r="R44" s="7">
        <v>7</v>
      </c>
      <c r="S44" s="7">
        <v>182</v>
      </c>
      <c r="T44" t="s">
        <v>197</v>
      </c>
      <c r="U44" t="s">
        <v>176</v>
      </c>
      <c r="V44" t="str">
        <f>_xlfn.XLOOKUP(U44, Mapping!$A$2:$A$48, Mapping!$B$2:$B$48, "Unknown County")</f>
        <v>Eastern</v>
      </c>
    </row>
    <row r="45" spans="1:22" x14ac:dyDescent="0.3">
      <c r="A45" t="s">
        <v>194</v>
      </c>
      <c r="B45" t="s">
        <v>58</v>
      </c>
      <c r="C45" s="3">
        <v>44509</v>
      </c>
      <c r="D45" t="s">
        <v>22</v>
      </c>
      <c r="E45" t="s">
        <v>198</v>
      </c>
      <c r="F45" s="7">
        <v>46</v>
      </c>
      <c r="H45" t="s">
        <v>199</v>
      </c>
      <c r="I45" t="s">
        <v>39</v>
      </c>
      <c r="J45" t="s">
        <v>25</v>
      </c>
      <c r="K45" t="s">
        <v>26</v>
      </c>
      <c r="L45" t="s">
        <v>59</v>
      </c>
      <c r="M45" t="s">
        <v>34</v>
      </c>
      <c r="N45" t="s">
        <v>35</v>
      </c>
      <c r="O45" s="3"/>
      <c r="Q45" t="s">
        <v>28</v>
      </c>
      <c r="T45" t="s">
        <v>200</v>
      </c>
      <c r="U45" t="s">
        <v>176</v>
      </c>
      <c r="V45" t="str">
        <f>_xlfn.XLOOKUP(U45, Mapping!$A$2:$A$48, Mapping!$B$2:$B$48, "Unknown County")</f>
        <v>Eastern</v>
      </c>
    </row>
    <row r="46" spans="1:22" x14ac:dyDescent="0.3">
      <c r="A46" t="s">
        <v>185</v>
      </c>
      <c r="B46" t="s">
        <v>63</v>
      </c>
      <c r="C46" s="3">
        <v>45113</v>
      </c>
      <c r="D46" t="s">
        <v>22</v>
      </c>
      <c r="E46" t="s">
        <v>201</v>
      </c>
      <c r="F46" s="7">
        <v>24</v>
      </c>
      <c r="H46" t="s">
        <v>202</v>
      </c>
      <c r="I46" t="s">
        <v>186</v>
      </c>
      <c r="J46" t="s">
        <v>83</v>
      </c>
      <c r="K46" t="s">
        <v>84</v>
      </c>
      <c r="L46" t="s">
        <v>46</v>
      </c>
      <c r="M46" t="s">
        <v>28</v>
      </c>
      <c r="N46" t="s">
        <v>35</v>
      </c>
      <c r="O46" s="3"/>
      <c r="Q46" t="s">
        <v>28</v>
      </c>
      <c r="T46" t="s">
        <v>203</v>
      </c>
      <c r="U46" t="s">
        <v>176</v>
      </c>
      <c r="V46" t="str">
        <f>_xlfn.XLOOKUP(U46, Mapping!$A$2:$A$48, Mapping!$B$2:$B$48, "Unknown County")</f>
        <v>Eastern</v>
      </c>
    </row>
    <row r="47" spans="1:22" x14ac:dyDescent="0.3">
      <c r="A47" t="s">
        <v>192</v>
      </c>
      <c r="B47" t="s">
        <v>21</v>
      </c>
      <c r="C47" s="3">
        <v>44816</v>
      </c>
      <c r="D47" t="s">
        <v>22</v>
      </c>
      <c r="E47" t="s">
        <v>204</v>
      </c>
      <c r="F47" s="7">
        <v>22</v>
      </c>
      <c r="H47" t="s">
        <v>205</v>
      </c>
      <c r="I47" t="s">
        <v>39</v>
      </c>
      <c r="J47" t="s">
        <v>25</v>
      </c>
      <c r="K47" t="s">
        <v>26</v>
      </c>
      <c r="L47" t="s">
        <v>40</v>
      </c>
      <c r="M47" t="s">
        <v>60</v>
      </c>
      <c r="N47" t="s">
        <v>35</v>
      </c>
      <c r="O47" s="3"/>
      <c r="Q47" t="s">
        <v>28</v>
      </c>
      <c r="T47" t="s">
        <v>206</v>
      </c>
      <c r="U47" t="s">
        <v>207</v>
      </c>
      <c r="V47" t="str">
        <f>_xlfn.XLOOKUP(U47, Mapping!$A$2:$A$48, Mapping!$B$2:$B$48, "Unknown County")</f>
        <v>North Eastern</v>
      </c>
    </row>
    <row r="48" spans="1:22" x14ac:dyDescent="0.3">
      <c r="A48" t="s">
        <v>208</v>
      </c>
      <c r="B48" t="s">
        <v>21</v>
      </c>
      <c r="C48" s="3">
        <v>43523</v>
      </c>
      <c r="D48" t="s">
        <v>22</v>
      </c>
      <c r="E48" t="s">
        <v>209</v>
      </c>
      <c r="F48" s="7"/>
      <c r="H48" t="s">
        <v>210</v>
      </c>
      <c r="I48" t="s">
        <v>39</v>
      </c>
      <c r="J48" t="s">
        <v>25</v>
      </c>
      <c r="K48" t="s">
        <v>26</v>
      </c>
      <c r="L48" t="s">
        <v>40</v>
      </c>
      <c r="M48" t="s">
        <v>34</v>
      </c>
      <c r="N48" t="s">
        <v>28</v>
      </c>
      <c r="O48" s="3"/>
      <c r="P48" s="3">
        <v>43523</v>
      </c>
      <c r="Q48" t="s">
        <v>29</v>
      </c>
      <c r="R48" s="7">
        <v>12</v>
      </c>
      <c r="S48" s="7">
        <v>1361</v>
      </c>
      <c r="T48" t="s">
        <v>211</v>
      </c>
      <c r="U48" t="s">
        <v>212</v>
      </c>
      <c r="V48" t="str">
        <f>_xlfn.XLOOKUP(U48, Mapping!$A$2:$A$48, Mapping!$B$2:$B$48, "Unknown County")</f>
        <v>Nyanza</v>
      </c>
    </row>
    <row r="49" spans="1:22" x14ac:dyDescent="0.3">
      <c r="A49" t="s">
        <v>213</v>
      </c>
      <c r="B49" t="s">
        <v>63</v>
      </c>
      <c r="C49" s="3">
        <v>43350</v>
      </c>
      <c r="D49" t="s">
        <v>22</v>
      </c>
      <c r="E49" t="s">
        <v>214</v>
      </c>
      <c r="F49" s="7">
        <v>26</v>
      </c>
      <c r="H49" t="s">
        <v>215</v>
      </c>
      <c r="I49" t="s">
        <v>70</v>
      </c>
      <c r="J49" t="s">
        <v>25</v>
      </c>
      <c r="K49" t="s">
        <v>84</v>
      </c>
      <c r="L49" t="s">
        <v>59</v>
      </c>
      <c r="M49" t="s">
        <v>216</v>
      </c>
      <c r="N49" t="s">
        <v>1384</v>
      </c>
      <c r="O49" s="3">
        <v>43370</v>
      </c>
      <c r="Q49" t="s">
        <v>28</v>
      </c>
      <c r="T49" t="s">
        <v>217</v>
      </c>
      <c r="U49" t="s">
        <v>212</v>
      </c>
      <c r="V49" t="str">
        <f>_xlfn.XLOOKUP(U49, Mapping!$A$2:$A$48, Mapping!$B$2:$B$48, "Unknown County")</f>
        <v>Nyanza</v>
      </c>
    </row>
    <row r="50" spans="1:22" x14ac:dyDescent="0.3">
      <c r="A50" t="s">
        <v>218</v>
      </c>
      <c r="B50" t="s">
        <v>63</v>
      </c>
      <c r="C50" s="3">
        <v>43449</v>
      </c>
      <c r="D50" t="s">
        <v>22</v>
      </c>
      <c r="E50" t="s">
        <v>219</v>
      </c>
      <c r="F50" s="7">
        <v>38</v>
      </c>
      <c r="H50" t="s">
        <v>220</v>
      </c>
      <c r="I50" t="s">
        <v>39</v>
      </c>
      <c r="J50" t="s">
        <v>25</v>
      </c>
      <c r="K50" t="s">
        <v>26</v>
      </c>
      <c r="L50" t="s">
        <v>46</v>
      </c>
      <c r="M50" t="s">
        <v>34</v>
      </c>
      <c r="N50" t="s">
        <v>35</v>
      </c>
      <c r="O50" s="3"/>
      <c r="Q50" t="s">
        <v>28</v>
      </c>
      <c r="T50" t="s">
        <v>221</v>
      </c>
      <c r="U50" t="s">
        <v>212</v>
      </c>
      <c r="V50" t="str">
        <f>_xlfn.XLOOKUP(U50, Mapping!$A$2:$A$48, Mapping!$B$2:$B$48, "Unknown County")</f>
        <v>Nyanza</v>
      </c>
    </row>
    <row r="51" spans="1:22" x14ac:dyDescent="0.3">
      <c r="A51" t="s">
        <v>222</v>
      </c>
      <c r="B51" t="s">
        <v>63</v>
      </c>
      <c r="C51" s="3">
        <v>43499</v>
      </c>
      <c r="D51" t="s">
        <v>22</v>
      </c>
      <c r="E51" t="s">
        <v>223</v>
      </c>
      <c r="F51" s="7">
        <v>18</v>
      </c>
      <c r="H51" t="s">
        <v>224</v>
      </c>
      <c r="I51" t="s">
        <v>70</v>
      </c>
      <c r="J51" t="s">
        <v>25</v>
      </c>
      <c r="K51" t="s">
        <v>26</v>
      </c>
      <c r="L51" t="s">
        <v>40</v>
      </c>
      <c r="M51" t="s">
        <v>225</v>
      </c>
      <c r="N51" t="s">
        <v>35</v>
      </c>
      <c r="O51" s="3"/>
      <c r="Q51" t="s">
        <v>28</v>
      </c>
      <c r="T51" t="s">
        <v>226</v>
      </c>
      <c r="U51" t="s">
        <v>212</v>
      </c>
      <c r="V51" t="str">
        <f>_xlfn.XLOOKUP(U51, Mapping!$A$2:$A$48, Mapping!$B$2:$B$48, "Unknown County")</f>
        <v>Nyanza</v>
      </c>
    </row>
    <row r="52" spans="1:22" x14ac:dyDescent="0.3">
      <c r="A52" t="s">
        <v>222</v>
      </c>
      <c r="B52" t="s">
        <v>63</v>
      </c>
      <c r="C52" s="3">
        <v>43749</v>
      </c>
      <c r="D52" t="s">
        <v>22</v>
      </c>
      <c r="E52" t="s">
        <v>227</v>
      </c>
      <c r="F52" s="7"/>
      <c r="H52" t="s">
        <v>228</v>
      </c>
      <c r="I52" t="s">
        <v>70</v>
      </c>
      <c r="J52" t="s">
        <v>25</v>
      </c>
      <c r="K52" t="s">
        <v>26</v>
      </c>
      <c r="L52" t="s">
        <v>59</v>
      </c>
      <c r="M52" t="s">
        <v>60</v>
      </c>
      <c r="N52" t="s">
        <v>35</v>
      </c>
      <c r="O52" s="3"/>
      <c r="Q52" t="s">
        <v>28</v>
      </c>
      <c r="T52" t="s">
        <v>229</v>
      </c>
      <c r="U52" t="s">
        <v>212</v>
      </c>
      <c r="V52" t="str">
        <f>_xlfn.XLOOKUP(U52, Mapping!$A$2:$A$48, Mapping!$B$2:$B$48, "Unknown County")</f>
        <v>Nyanza</v>
      </c>
    </row>
    <row r="53" spans="1:22" x14ac:dyDescent="0.3">
      <c r="A53" t="s">
        <v>230</v>
      </c>
      <c r="B53" t="s">
        <v>135</v>
      </c>
      <c r="D53" t="s">
        <v>22</v>
      </c>
      <c r="E53" t="s">
        <v>231</v>
      </c>
      <c r="F53" s="7">
        <v>25</v>
      </c>
      <c r="H53" t="s">
        <v>28</v>
      </c>
      <c r="I53" t="s">
        <v>82</v>
      </c>
      <c r="J53" t="s">
        <v>28</v>
      </c>
      <c r="K53" t="s">
        <v>84</v>
      </c>
      <c r="L53" t="s">
        <v>173</v>
      </c>
      <c r="M53" t="s">
        <v>28</v>
      </c>
      <c r="N53" t="s">
        <v>28</v>
      </c>
      <c r="O53" s="3"/>
      <c r="Q53" t="s">
        <v>28</v>
      </c>
      <c r="T53" t="s">
        <v>232</v>
      </c>
      <c r="U53" t="s">
        <v>212</v>
      </c>
      <c r="V53" t="str">
        <f>_xlfn.XLOOKUP(U53, Mapping!$A$2:$A$48, Mapping!$B$2:$B$48, "Unknown County")</f>
        <v>Nyanza</v>
      </c>
    </row>
    <row r="54" spans="1:22" x14ac:dyDescent="0.3">
      <c r="A54" t="s">
        <v>208</v>
      </c>
      <c r="B54" t="s">
        <v>21</v>
      </c>
      <c r="C54" s="3">
        <v>44900</v>
      </c>
      <c r="D54" t="s">
        <v>22</v>
      </c>
      <c r="E54" t="s">
        <v>233</v>
      </c>
      <c r="F54" s="7">
        <v>28</v>
      </c>
      <c r="H54" t="s">
        <v>28</v>
      </c>
      <c r="I54" t="s">
        <v>70</v>
      </c>
      <c r="J54" t="s">
        <v>25</v>
      </c>
      <c r="K54" t="s">
        <v>26</v>
      </c>
      <c r="L54" t="s">
        <v>59</v>
      </c>
      <c r="M54" t="s">
        <v>60</v>
      </c>
      <c r="N54" t="s">
        <v>35</v>
      </c>
      <c r="O54" s="3"/>
      <c r="Q54" t="s">
        <v>28</v>
      </c>
      <c r="T54" t="s">
        <v>234</v>
      </c>
      <c r="U54" t="s">
        <v>212</v>
      </c>
      <c r="V54" t="str">
        <f>_xlfn.XLOOKUP(U54, Mapping!$A$2:$A$48, Mapping!$B$2:$B$48, "Unknown County")</f>
        <v>Nyanza</v>
      </c>
    </row>
    <row r="55" spans="1:22" x14ac:dyDescent="0.3">
      <c r="A55" t="s">
        <v>208</v>
      </c>
      <c r="B55" t="s">
        <v>21</v>
      </c>
      <c r="C55" s="3">
        <v>45005</v>
      </c>
      <c r="D55" t="s">
        <v>22</v>
      </c>
      <c r="E55" t="s">
        <v>235</v>
      </c>
      <c r="F55" s="7">
        <v>48</v>
      </c>
      <c r="H55" t="s">
        <v>236</v>
      </c>
      <c r="I55" t="s">
        <v>39</v>
      </c>
      <c r="J55" t="s">
        <v>25</v>
      </c>
      <c r="K55" t="s">
        <v>84</v>
      </c>
      <c r="L55" t="s">
        <v>173</v>
      </c>
      <c r="M55" t="s">
        <v>28</v>
      </c>
      <c r="N55" t="s">
        <v>35</v>
      </c>
      <c r="O55" s="3"/>
      <c r="Q55" t="s">
        <v>28</v>
      </c>
      <c r="T55" t="s">
        <v>237</v>
      </c>
      <c r="U55" t="s">
        <v>212</v>
      </c>
      <c r="V55" t="str">
        <f>_xlfn.XLOOKUP(U55, Mapping!$A$2:$A$48, Mapping!$B$2:$B$48, "Unknown County")</f>
        <v>Nyanza</v>
      </c>
    </row>
    <row r="56" spans="1:22" x14ac:dyDescent="0.3">
      <c r="A56" t="s">
        <v>28</v>
      </c>
      <c r="B56" t="s">
        <v>238</v>
      </c>
      <c r="C56" s="3">
        <v>45206</v>
      </c>
      <c r="D56" t="s">
        <v>22</v>
      </c>
      <c r="E56" t="s">
        <v>239</v>
      </c>
      <c r="F56" s="7">
        <v>23</v>
      </c>
      <c r="H56" t="s">
        <v>28</v>
      </c>
      <c r="I56" t="s">
        <v>39</v>
      </c>
      <c r="J56" t="s">
        <v>88</v>
      </c>
      <c r="K56" t="s">
        <v>71</v>
      </c>
      <c r="L56" t="s">
        <v>33</v>
      </c>
      <c r="M56" t="s">
        <v>28</v>
      </c>
      <c r="N56" t="s">
        <v>35</v>
      </c>
      <c r="O56" s="3"/>
      <c r="Q56" t="s">
        <v>28</v>
      </c>
      <c r="T56" t="s">
        <v>240</v>
      </c>
      <c r="U56" t="s">
        <v>212</v>
      </c>
      <c r="V56" t="str">
        <f>_xlfn.XLOOKUP(U56, Mapping!$A$2:$A$48, Mapping!$B$2:$B$48, "Unknown County")</f>
        <v>Nyanza</v>
      </c>
    </row>
    <row r="57" spans="1:22" x14ac:dyDescent="0.3">
      <c r="A57" t="s">
        <v>230</v>
      </c>
      <c r="B57" t="s">
        <v>58</v>
      </c>
      <c r="C57" s="3">
        <v>43318</v>
      </c>
      <c r="D57" t="s">
        <v>22</v>
      </c>
      <c r="E57" t="s">
        <v>241</v>
      </c>
      <c r="F57" s="7"/>
      <c r="H57" t="s">
        <v>242</v>
      </c>
      <c r="I57" t="s">
        <v>39</v>
      </c>
      <c r="J57" t="s">
        <v>25</v>
      </c>
      <c r="K57" t="s">
        <v>26</v>
      </c>
      <c r="L57" t="s">
        <v>40</v>
      </c>
      <c r="M57" t="s">
        <v>34</v>
      </c>
      <c r="N57" t="s">
        <v>28</v>
      </c>
      <c r="O57" s="3"/>
      <c r="P57" s="3">
        <v>43318</v>
      </c>
      <c r="Q57" t="s">
        <v>29</v>
      </c>
      <c r="R57" s="7">
        <v>20</v>
      </c>
      <c r="S57" s="7">
        <v>565</v>
      </c>
      <c r="T57" t="s">
        <v>243</v>
      </c>
      <c r="U57" t="s">
        <v>212</v>
      </c>
      <c r="V57" t="str">
        <f>_xlfn.XLOOKUP(U57, Mapping!$A$2:$A$48, Mapping!$B$2:$B$48, "Unknown County")</f>
        <v>Nyanza</v>
      </c>
    </row>
    <row r="58" spans="1:22" x14ac:dyDescent="0.3">
      <c r="A58" t="s">
        <v>230</v>
      </c>
      <c r="B58" t="s">
        <v>58</v>
      </c>
      <c r="C58" s="3">
        <v>43103</v>
      </c>
      <c r="D58" t="s">
        <v>22</v>
      </c>
      <c r="E58" t="s">
        <v>244</v>
      </c>
      <c r="F58" s="7">
        <v>22</v>
      </c>
      <c r="H58" t="s">
        <v>28</v>
      </c>
      <c r="I58" t="s">
        <v>82</v>
      </c>
      <c r="J58" t="s">
        <v>25</v>
      </c>
      <c r="K58" t="s">
        <v>26</v>
      </c>
      <c r="L58" t="s">
        <v>33</v>
      </c>
      <c r="M58" t="s">
        <v>225</v>
      </c>
      <c r="N58" t="s">
        <v>35</v>
      </c>
      <c r="O58" s="3"/>
      <c r="Q58" t="s">
        <v>28</v>
      </c>
      <c r="T58" t="s">
        <v>245</v>
      </c>
      <c r="U58" t="s">
        <v>212</v>
      </c>
      <c r="V58" t="str">
        <f>_xlfn.XLOOKUP(U58, Mapping!$A$2:$A$48, Mapping!$B$2:$B$48, "Unknown County")</f>
        <v>Nyanza</v>
      </c>
    </row>
    <row r="59" spans="1:22" x14ac:dyDescent="0.3">
      <c r="A59" t="s">
        <v>230</v>
      </c>
      <c r="B59" t="s">
        <v>58</v>
      </c>
      <c r="C59" s="3">
        <v>43153</v>
      </c>
      <c r="D59" t="s">
        <v>22</v>
      </c>
      <c r="E59" t="s">
        <v>28</v>
      </c>
      <c r="F59" s="7"/>
      <c r="H59" t="s">
        <v>28</v>
      </c>
      <c r="I59" t="s">
        <v>39</v>
      </c>
      <c r="J59" t="s">
        <v>25</v>
      </c>
      <c r="K59" t="s">
        <v>26</v>
      </c>
      <c r="L59" t="s">
        <v>40</v>
      </c>
      <c r="M59" t="s">
        <v>28</v>
      </c>
      <c r="N59" t="s">
        <v>35</v>
      </c>
      <c r="O59" s="3"/>
      <c r="Q59" t="s">
        <v>28</v>
      </c>
      <c r="T59" t="s">
        <v>217</v>
      </c>
      <c r="U59" t="s">
        <v>212</v>
      </c>
      <c r="V59" t="str">
        <f>_xlfn.XLOOKUP(U59, Mapping!$A$2:$A$48, Mapping!$B$2:$B$48, "Unknown County")</f>
        <v>Nyanza</v>
      </c>
    </row>
    <row r="60" spans="1:22" x14ac:dyDescent="0.3">
      <c r="A60" t="s">
        <v>230</v>
      </c>
      <c r="B60" t="s">
        <v>135</v>
      </c>
      <c r="C60" s="3">
        <v>44300</v>
      </c>
      <c r="D60" t="s">
        <v>22</v>
      </c>
      <c r="E60" t="s">
        <v>246</v>
      </c>
      <c r="F60" s="7">
        <v>16</v>
      </c>
      <c r="H60" t="s">
        <v>28</v>
      </c>
      <c r="I60" t="s">
        <v>82</v>
      </c>
      <c r="J60" t="s">
        <v>28</v>
      </c>
      <c r="K60" t="s">
        <v>71</v>
      </c>
      <c r="L60" t="s">
        <v>173</v>
      </c>
      <c r="M60" t="s">
        <v>28</v>
      </c>
      <c r="N60" t="s">
        <v>28</v>
      </c>
      <c r="O60" s="3"/>
      <c r="Q60" t="s">
        <v>28</v>
      </c>
      <c r="T60" t="s">
        <v>247</v>
      </c>
      <c r="U60" t="s">
        <v>212</v>
      </c>
      <c r="V60" t="str">
        <f>_xlfn.XLOOKUP(U60, Mapping!$A$2:$A$48, Mapping!$B$2:$B$48, "Unknown County")</f>
        <v>Nyanza</v>
      </c>
    </row>
    <row r="61" spans="1:22" x14ac:dyDescent="0.3">
      <c r="A61" t="s">
        <v>230</v>
      </c>
      <c r="B61" t="s">
        <v>135</v>
      </c>
      <c r="C61" s="3">
        <v>44382</v>
      </c>
      <c r="D61" t="s">
        <v>22</v>
      </c>
      <c r="E61" t="s">
        <v>248</v>
      </c>
      <c r="F61" s="7"/>
      <c r="H61" t="s">
        <v>28</v>
      </c>
      <c r="I61" t="s">
        <v>82</v>
      </c>
      <c r="J61" t="s">
        <v>28</v>
      </c>
      <c r="K61" t="s">
        <v>71</v>
      </c>
      <c r="L61" t="s">
        <v>59</v>
      </c>
      <c r="M61" t="s">
        <v>28</v>
      </c>
      <c r="N61" t="s">
        <v>28</v>
      </c>
      <c r="O61" s="3"/>
      <c r="Q61" t="s">
        <v>28</v>
      </c>
      <c r="T61" t="s">
        <v>249</v>
      </c>
      <c r="U61" t="s">
        <v>212</v>
      </c>
      <c r="V61" t="str">
        <f>_xlfn.XLOOKUP(U61, Mapping!$A$2:$A$48, Mapping!$B$2:$B$48, "Unknown County")</f>
        <v>Nyanza</v>
      </c>
    </row>
    <row r="62" spans="1:22" x14ac:dyDescent="0.3">
      <c r="A62" t="s">
        <v>250</v>
      </c>
      <c r="B62" t="s">
        <v>63</v>
      </c>
      <c r="C62" s="3">
        <v>45118</v>
      </c>
      <c r="D62" t="s">
        <v>22</v>
      </c>
      <c r="E62" t="s">
        <v>251</v>
      </c>
      <c r="F62" s="7"/>
      <c r="H62" t="s">
        <v>28</v>
      </c>
      <c r="I62" t="s">
        <v>70</v>
      </c>
      <c r="J62" t="s">
        <v>25</v>
      </c>
      <c r="K62" t="s">
        <v>84</v>
      </c>
      <c r="L62" t="s">
        <v>59</v>
      </c>
      <c r="M62" t="s">
        <v>252</v>
      </c>
      <c r="N62" t="s">
        <v>35</v>
      </c>
      <c r="O62" s="3"/>
      <c r="Q62" t="s">
        <v>253</v>
      </c>
      <c r="T62" t="s">
        <v>254</v>
      </c>
      <c r="U62" t="s">
        <v>808</v>
      </c>
      <c r="V62" t="str">
        <f>_xlfn.XLOOKUP(U62, Mapping!$A$2:$A$48, Mapping!$B$2:$B$48, "Unknown County")</f>
        <v>Eastern</v>
      </c>
    </row>
    <row r="63" spans="1:22" x14ac:dyDescent="0.3">
      <c r="A63" t="s">
        <v>255</v>
      </c>
      <c r="B63" t="s">
        <v>256</v>
      </c>
      <c r="C63" s="3">
        <v>43003</v>
      </c>
      <c r="D63" t="s">
        <v>22</v>
      </c>
      <c r="E63" t="s">
        <v>28</v>
      </c>
      <c r="F63" s="7">
        <v>21</v>
      </c>
      <c r="H63" t="s">
        <v>257</v>
      </c>
      <c r="I63" t="s">
        <v>82</v>
      </c>
      <c r="J63" t="s">
        <v>25</v>
      </c>
      <c r="K63" t="s">
        <v>84</v>
      </c>
      <c r="L63" t="s">
        <v>258</v>
      </c>
      <c r="M63" t="s">
        <v>34</v>
      </c>
      <c r="N63" t="s">
        <v>174</v>
      </c>
      <c r="O63" s="3"/>
      <c r="Q63" t="s">
        <v>28</v>
      </c>
      <c r="T63" t="s">
        <v>259</v>
      </c>
      <c r="U63" t="s">
        <v>260</v>
      </c>
      <c r="V63" t="str">
        <f>_xlfn.XLOOKUP(U63, Mapping!$A$2:$A$48, Mapping!$B$2:$B$48, "Unknown County")</f>
        <v>Eastern</v>
      </c>
    </row>
    <row r="64" spans="1:22" x14ac:dyDescent="0.3">
      <c r="A64" t="s">
        <v>261</v>
      </c>
      <c r="B64" t="s">
        <v>63</v>
      </c>
      <c r="C64" s="3">
        <v>43454</v>
      </c>
      <c r="D64" t="s">
        <v>22</v>
      </c>
      <c r="E64" t="s">
        <v>28</v>
      </c>
      <c r="F64" s="7"/>
      <c r="H64" t="s">
        <v>28</v>
      </c>
      <c r="I64" t="s">
        <v>70</v>
      </c>
      <c r="J64" t="s">
        <v>25</v>
      </c>
      <c r="K64" t="s">
        <v>26</v>
      </c>
      <c r="L64" t="s">
        <v>139</v>
      </c>
      <c r="M64" t="s">
        <v>34</v>
      </c>
      <c r="N64" t="s">
        <v>35</v>
      </c>
      <c r="O64" s="3"/>
      <c r="Q64" t="s">
        <v>28</v>
      </c>
      <c r="T64" t="s">
        <v>262</v>
      </c>
      <c r="U64" t="s">
        <v>260</v>
      </c>
      <c r="V64" t="str">
        <f>_xlfn.XLOOKUP(U64, Mapping!$A$2:$A$48, Mapping!$B$2:$B$48, "Unknown County")</f>
        <v>Eastern</v>
      </c>
    </row>
    <row r="65" spans="1:22" x14ac:dyDescent="0.3">
      <c r="A65" t="s">
        <v>263</v>
      </c>
      <c r="B65" t="s">
        <v>63</v>
      </c>
      <c r="C65" s="3">
        <v>43955</v>
      </c>
      <c r="D65" t="s">
        <v>22</v>
      </c>
      <c r="E65" t="s">
        <v>28</v>
      </c>
      <c r="F65" s="7"/>
      <c r="G65" s="3">
        <v>43954</v>
      </c>
      <c r="H65" t="s">
        <v>264</v>
      </c>
      <c r="I65" t="s">
        <v>39</v>
      </c>
      <c r="J65" t="s">
        <v>25</v>
      </c>
      <c r="K65" t="s">
        <v>26</v>
      </c>
      <c r="L65" t="s">
        <v>33</v>
      </c>
      <c r="M65" t="s">
        <v>34</v>
      </c>
      <c r="N65" t="s">
        <v>35</v>
      </c>
      <c r="O65" s="3"/>
      <c r="Q65" t="s">
        <v>28</v>
      </c>
      <c r="T65" t="s">
        <v>265</v>
      </c>
      <c r="U65" t="s">
        <v>260</v>
      </c>
      <c r="V65" t="str">
        <f>_xlfn.XLOOKUP(U65, Mapping!$A$2:$A$48, Mapping!$B$2:$B$48, "Unknown County")</f>
        <v>Eastern</v>
      </c>
    </row>
    <row r="66" spans="1:22" x14ac:dyDescent="0.3">
      <c r="A66" t="s">
        <v>266</v>
      </c>
      <c r="B66" t="s">
        <v>267</v>
      </c>
      <c r="C66" s="3">
        <v>44285</v>
      </c>
      <c r="D66" t="s">
        <v>22</v>
      </c>
      <c r="E66" t="s">
        <v>268</v>
      </c>
      <c r="F66" s="7">
        <v>26</v>
      </c>
      <c r="H66" t="s">
        <v>269</v>
      </c>
      <c r="I66" t="s">
        <v>1584</v>
      </c>
      <c r="J66" t="s">
        <v>25</v>
      </c>
      <c r="K66" t="s">
        <v>26</v>
      </c>
      <c r="L66" t="s">
        <v>59</v>
      </c>
      <c r="M66" t="s">
        <v>34</v>
      </c>
      <c r="N66" t="s">
        <v>1384</v>
      </c>
      <c r="O66" s="3">
        <v>44298</v>
      </c>
      <c r="Q66" t="s">
        <v>28</v>
      </c>
      <c r="T66" t="s">
        <v>270</v>
      </c>
      <c r="U66" t="s">
        <v>260</v>
      </c>
      <c r="V66" t="str">
        <f>_xlfn.XLOOKUP(U66, Mapping!$A$2:$A$48, Mapping!$B$2:$B$48, "Unknown County")</f>
        <v>Eastern</v>
      </c>
    </row>
    <row r="67" spans="1:22" x14ac:dyDescent="0.3">
      <c r="A67" t="s">
        <v>271</v>
      </c>
      <c r="B67" t="s">
        <v>21</v>
      </c>
      <c r="C67" s="3">
        <v>43111</v>
      </c>
      <c r="D67" t="s">
        <v>22</v>
      </c>
      <c r="E67" t="s">
        <v>272</v>
      </c>
      <c r="F67" s="7"/>
      <c r="H67" t="s">
        <v>273</v>
      </c>
      <c r="I67" t="s">
        <v>39</v>
      </c>
      <c r="J67" t="s">
        <v>25</v>
      </c>
      <c r="K67" t="s">
        <v>71</v>
      </c>
      <c r="L67" t="s">
        <v>72</v>
      </c>
      <c r="M67" t="s">
        <v>34</v>
      </c>
      <c r="N67" t="s">
        <v>274</v>
      </c>
      <c r="O67" s="3">
        <v>43105</v>
      </c>
      <c r="Q67" t="s">
        <v>28</v>
      </c>
      <c r="T67" t="s">
        <v>275</v>
      </c>
      <c r="U67" t="s">
        <v>276</v>
      </c>
      <c r="V67" t="str">
        <f>_xlfn.XLOOKUP(U67, Mapping!$A$2:$A$48, Mapping!$B$2:$B$48, "Unknown County")</f>
        <v>Rift Valley</v>
      </c>
    </row>
    <row r="68" spans="1:22" x14ac:dyDescent="0.3">
      <c r="A68" t="s">
        <v>271</v>
      </c>
      <c r="B68" t="s">
        <v>21</v>
      </c>
      <c r="C68" s="3">
        <v>43150</v>
      </c>
      <c r="D68" t="s">
        <v>22</v>
      </c>
      <c r="E68" t="s">
        <v>277</v>
      </c>
      <c r="F68" s="7"/>
      <c r="H68" t="s">
        <v>28</v>
      </c>
      <c r="I68" t="s">
        <v>82</v>
      </c>
      <c r="J68" t="s">
        <v>172</v>
      </c>
      <c r="K68" t="s">
        <v>26</v>
      </c>
      <c r="L68" t="s">
        <v>165</v>
      </c>
      <c r="M68" t="s">
        <v>28</v>
      </c>
      <c r="N68" t="s">
        <v>35</v>
      </c>
      <c r="O68" s="3"/>
      <c r="Q68" t="s">
        <v>28</v>
      </c>
      <c r="T68" t="s">
        <v>275</v>
      </c>
      <c r="U68" t="s">
        <v>276</v>
      </c>
      <c r="V68" t="str">
        <f>_xlfn.XLOOKUP(U68, Mapping!$A$2:$A$48, Mapping!$B$2:$B$48, "Unknown County")</f>
        <v>Rift Valley</v>
      </c>
    </row>
    <row r="69" spans="1:22" x14ac:dyDescent="0.3">
      <c r="A69" t="s">
        <v>278</v>
      </c>
      <c r="B69" t="s">
        <v>279</v>
      </c>
      <c r="C69" s="3">
        <v>43657</v>
      </c>
      <c r="D69" t="s">
        <v>22</v>
      </c>
      <c r="E69" t="s">
        <v>280</v>
      </c>
      <c r="F69" s="7">
        <v>32</v>
      </c>
      <c r="H69" t="s">
        <v>281</v>
      </c>
      <c r="I69" t="s">
        <v>39</v>
      </c>
      <c r="J69" t="s">
        <v>25</v>
      </c>
      <c r="K69" t="s">
        <v>26</v>
      </c>
      <c r="L69" t="s">
        <v>139</v>
      </c>
      <c r="M69" t="s">
        <v>34</v>
      </c>
      <c r="N69" t="s">
        <v>140</v>
      </c>
      <c r="O69" s="3"/>
      <c r="Q69" t="s">
        <v>28</v>
      </c>
      <c r="T69" t="s">
        <v>275</v>
      </c>
      <c r="U69" t="s">
        <v>276</v>
      </c>
      <c r="V69" t="str">
        <f>_xlfn.XLOOKUP(U69, Mapping!$A$2:$A$48, Mapping!$B$2:$B$48, "Unknown County")</f>
        <v>Rift Valley</v>
      </c>
    </row>
    <row r="70" spans="1:22" x14ac:dyDescent="0.3">
      <c r="A70" t="s">
        <v>282</v>
      </c>
      <c r="B70" t="s">
        <v>135</v>
      </c>
      <c r="D70" t="s">
        <v>22</v>
      </c>
      <c r="E70" t="s">
        <v>28</v>
      </c>
      <c r="F70" s="7"/>
      <c r="H70" t="s">
        <v>28</v>
      </c>
      <c r="I70" t="s">
        <v>70</v>
      </c>
      <c r="J70" t="s">
        <v>25</v>
      </c>
      <c r="K70" t="s">
        <v>71</v>
      </c>
      <c r="L70" t="s">
        <v>165</v>
      </c>
      <c r="M70" t="s">
        <v>28</v>
      </c>
      <c r="N70" t="s">
        <v>28</v>
      </c>
      <c r="O70" s="3"/>
      <c r="Q70" t="s">
        <v>28</v>
      </c>
      <c r="T70" t="s">
        <v>283</v>
      </c>
      <c r="U70" t="s">
        <v>276</v>
      </c>
      <c r="V70" t="str">
        <f>_xlfn.XLOOKUP(U70, Mapping!$A$2:$A$48, Mapping!$B$2:$B$48, "Unknown County")</f>
        <v>Rift Valley</v>
      </c>
    </row>
    <row r="71" spans="1:22" x14ac:dyDescent="0.3">
      <c r="A71" t="s">
        <v>271</v>
      </c>
      <c r="B71" t="s">
        <v>21</v>
      </c>
      <c r="C71" s="3">
        <v>44178</v>
      </c>
      <c r="D71" t="s">
        <v>22</v>
      </c>
      <c r="E71" t="s">
        <v>284</v>
      </c>
      <c r="F71" s="7">
        <v>32</v>
      </c>
      <c r="H71" t="s">
        <v>285</v>
      </c>
      <c r="I71" t="s">
        <v>39</v>
      </c>
      <c r="J71" t="s">
        <v>25</v>
      </c>
      <c r="K71" t="s">
        <v>26</v>
      </c>
      <c r="L71" t="s">
        <v>59</v>
      </c>
      <c r="M71" t="s">
        <v>60</v>
      </c>
      <c r="N71" t="s">
        <v>140</v>
      </c>
      <c r="O71" s="3">
        <v>44175</v>
      </c>
      <c r="Q71" t="s">
        <v>28</v>
      </c>
      <c r="T71" t="s">
        <v>286</v>
      </c>
      <c r="U71" t="s">
        <v>276</v>
      </c>
      <c r="V71" t="str">
        <f>_xlfn.XLOOKUP(U71, Mapping!$A$2:$A$48, Mapping!$B$2:$B$48, "Unknown County")</f>
        <v>Rift Valley</v>
      </c>
    </row>
    <row r="72" spans="1:22" x14ac:dyDescent="0.3">
      <c r="A72" t="s">
        <v>192</v>
      </c>
      <c r="B72" t="s">
        <v>21</v>
      </c>
      <c r="C72" s="3">
        <v>44248</v>
      </c>
      <c r="D72" t="s">
        <v>22</v>
      </c>
      <c r="E72" t="s">
        <v>287</v>
      </c>
      <c r="F72" s="7">
        <v>38</v>
      </c>
      <c r="H72" t="s">
        <v>28</v>
      </c>
      <c r="I72" t="s">
        <v>82</v>
      </c>
      <c r="J72" t="s">
        <v>28</v>
      </c>
      <c r="K72" t="s">
        <v>84</v>
      </c>
      <c r="L72" t="s">
        <v>40</v>
      </c>
      <c r="M72" t="s">
        <v>34</v>
      </c>
      <c r="N72" t="s">
        <v>35</v>
      </c>
      <c r="O72" s="3"/>
      <c r="Q72" t="s">
        <v>28</v>
      </c>
      <c r="T72" t="s">
        <v>28</v>
      </c>
      <c r="U72" t="s">
        <v>276</v>
      </c>
      <c r="V72" t="str">
        <f>_xlfn.XLOOKUP(U72, Mapping!$A$2:$A$48, Mapping!$B$2:$B$48, "Unknown County")</f>
        <v>Rift Valley</v>
      </c>
    </row>
    <row r="73" spans="1:22" x14ac:dyDescent="0.3">
      <c r="A73" t="s">
        <v>288</v>
      </c>
      <c r="B73" t="s">
        <v>267</v>
      </c>
      <c r="C73" s="3">
        <v>44272</v>
      </c>
      <c r="D73" t="s">
        <v>22</v>
      </c>
      <c r="E73" t="s">
        <v>289</v>
      </c>
      <c r="F73" s="7"/>
      <c r="H73" t="s">
        <v>290</v>
      </c>
      <c r="I73" t="s">
        <v>82</v>
      </c>
      <c r="J73" t="s">
        <v>83</v>
      </c>
      <c r="K73" t="s">
        <v>84</v>
      </c>
      <c r="L73" t="s">
        <v>165</v>
      </c>
      <c r="M73" t="s">
        <v>28</v>
      </c>
      <c r="N73" t="s">
        <v>1384</v>
      </c>
      <c r="O73" s="3">
        <v>44312</v>
      </c>
      <c r="Q73" t="s">
        <v>28</v>
      </c>
      <c r="T73" t="s">
        <v>291</v>
      </c>
      <c r="U73" t="s">
        <v>276</v>
      </c>
      <c r="V73" t="str">
        <f>_xlfn.XLOOKUP(U73, Mapping!$A$2:$A$48, Mapping!$B$2:$B$48, "Unknown County")</f>
        <v>Rift Valley</v>
      </c>
    </row>
    <row r="74" spans="1:22" x14ac:dyDescent="0.3">
      <c r="A74" t="s">
        <v>292</v>
      </c>
      <c r="B74" t="s">
        <v>135</v>
      </c>
      <c r="C74" s="3">
        <v>44316</v>
      </c>
      <c r="D74" t="s">
        <v>22</v>
      </c>
      <c r="E74" t="s">
        <v>293</v>
      </c>
      <c r="F74" s="7">
        <v>33</v>
      </c>
      <c r="H74" t="s">
        <v>294</v>
      </c>
      <c r="I74" t="s">
        <v>39</v>
      </c>
      <c r="J74" t="s">
        <v>28</v>
      </c>
      <c r="K74" t="s">
        <v>71</v>
      </c>
      <c r="L74" t="s">
        <v>40</v>
      </c>
      <c r="M74" t="s">
        <v>28</v>
      </c>
      <c r="N74" t="s">
        <v>28</v>
      </c>
      <c r="O74" s="3"/>
      <c r="Q74" t="s">
        <v>28</v>
      </c>
      <c r="T74" t="s">
        <v>295</v>
      </c>
      <c r="U74" t="s">
        <v>276</v>
      </c>
      <c r="V74" t="str">
        <f>_xlfn.XLOOKUP(U74, Mapping!$A$2:$A$48, Mapping!$B$2:$B$48, "Unknown County")</f>
        <v>Rift Valley</v>
      </c>
    </row>
    <row r="75" spans="1:22" x14ac:dyDescent="0.3">
      <c r="A75" t="s">
        <v>282</v>
      </c>
      <c r="B75" t="s">
        <v>135</v>
      </c>
      <c r="C75" s="3">
        <v>44406</v>
      </c>
      <c r="D75" t="s">
        <v>22</v>
      </c>
      <c r="E75" t="s">
        <v>296</v>
      </c>
      <c r="F75" s="7">
        <v>33</v>
      </c>
      <c r="H75" t="s">
        <v>28</v>
      </c>
      <c r="I75" t="s">
        <v>39</v>
      </c>
      <c r="J75" t="s">
        <v>28</v>
      </c>
      <c r="K75" t="s">
        <v>71</v>
      </c>
      <c r="L75" t="s">
        <v>46</v>
      </c>
      <c r="M75" t="s">
        <v>28</v>
      </c>
      <c r="N75" t="s">
        <v>28</v>
      </c>
      <c r="O75" s="3"/>
      <c r="Q75" t="s">
        <v>28</v>
      </c>
      <c r="T75" t="s">
        <v>283</v>
      </c>
      <c r="U75" t="s">
        <v>276</v>
      </c>
      <c r="V75" t="str">
        <f>_xlfn.XLOOKUP(U75, Mapping!$A$2:$A$48, Mapping!$B$2:$B$48, "Unknown County")</f>
        <v>Rift Valley</v>
      </c>
    </row>
    <row r="76" spans="1:22" x14ac:dyDescent="0.3">
      <c r="A76" t="s">
        <v>297</v>
      </c>
      <c r="B76" t="s">
        <v>58</v>
      </c>
      <c r="C76" s="3">
        <v>44687</v>
      </c>
      <c r="D76" t="s">
        <v>22</v>
      </c>
      <c r="E76" t="s">
        <v>298</v>
      </c>
      <c r="F76" s="7">
        <v>26</v>
      </c>
      <c r="H76" t="s">
        <v>299</v>
      </c>
      <c r="I76" t="s">
        <v>1584</v>
      </c>
      <c r="J76" t="s">
        <v>25</v>
      </c>
      <c r="K76" t="s">
        <v>26</v>
      </c>
      <c r="L76" t="s">
        <v>59</v>
      </c>
      <c r="M76" t="s">
        <v>34</v>
      </c>
      <c r="N76" t="s">
        <v>35</v>
      </c>
      <c r="O76" s="3"/>
      <c r="Q76" t="s">
        <v>28</v>
      </c>
      <c r="T76" t="s">
        <v>300</v>
      </c>
      <c r="U76" t="s">
        <v>276</v>
      </c>
      <c r="V76" t="str">
        <f>_xlfn.XLOOKUP(U76, Mapping!$A$2:$A$48, Mapping!$B$2:$B$48, "Unknown County")</f>
        <v>Rift Valley</v>
      </c>
    </row>
    <row r="77" spans="1:22" x14ac:dyDescent="0.3">
      <c r="A77" t="s">
        <v>301</v>
      </c>
      <c r="B77" t="s">
        <v>63</v>
      </c>
      <c r="C77" s="3">
        <v>44939</v>
      </c>
      <c r="D77" t="s">
        <v>22</v>
      </c>
      <c r="E77" t="s">
        <v>28</v>
      </c>
      <c r="F77" s="7">
        <v>6</v>
      </c>
      <c r="H77" t="s">
        <v>28</v>
      </c>
      <c r="I77" t="s">
        <v>82</v>
      </c>
      <c r="J77" t="s">
        <v>83</v>
      </c>
      <c r="K77" t="s">
        <v>302</v>
      </c>
      <c r="L77" t="s">
        <v>46</v>
      </c>
      <c r="M77" t="s">
        <v>28</v>
      </c>
      <c r="N77" t="s">
        <v>35</v>
      </c>
      <c r="O77" s="3"/>
      <c r="Q77" t="s">
        <v>28</v>
      </c>
      <c r="T77" t="s">
        <v>303</v>
      </c>
      <c r="U77" t="s">
        <v>276</v>
      </c>
      <c r="V77" t="str">
        <f>_xlfn.XLOOKUP(U77, Mapping!$A$2:$A$48, Mapping!$B$2:$B$48, "Unknown County")</f>
        <v>Rift Valley</v>
      </c>
    </row>
    <row r="78" spans="1:22" x14ac:dyDescent="0.3">
      <c r="A78" t="s">
        <v>301</v>
      </c>
      <c r="B78" t="s">
        <v>63</v>
      </c>
      <c r="C78" s="3">
        <v>45038</v>
      </c>
      <c r="D78" t="s">
        <v>22</v>
      </c>
      <c r="E78" t="s">
        <v>304</v>
      </c>
      <c r="F78" s="7">
        <v>22</v>
      </c>
      <c r="H78" t="s">
        <v>305</v>
      </c>
      <c r="I78" t="s">
        <v>70</v>
      </c>
      <c r="J78" t="s">
        <v>25</v>
      </c>
      <c r="K78" t="s">
        <v>84</v>
      </c>
      <c r="L78" t="s">
        <v>59</v>
      </c>
      <c r="M78" t="s">
        <v>306</v>
      </c>
      <c r="N78" t="s">
        <v>35</v>
      </c>
      <c r="O78" s="3"/>
      <c r="Q78" t="s">
        <v>28</v>
      </c>
      <c r="T78" t="s">
        <v>283</v>
      </c>
      <c r="U78" t="s">
        <v>276</v>
      </c>
      <c r="V78" t="str">
        <f>_xlfn.XLOOKUP(U78, Mapping!$A$2:$A$48, Mapping!$B$2:$B$48, "Unknown County")</f>
        <v>Rift Valley</v>
      </c>
    </row>
    <row r="79" spans="1:22" x14ac:dyDescent="0.3">
      <c r="A79" t="s">
        <v>192</v>
      </c>
      <c r="B79" t="s">
        <v>21</v>
      </c>
      <c r="C79" s="3">
        <v>45146</v>
      </c>
      <c r="D79" t="s">
        <v>22</v>
      </c>
      <c r="E79" t="s">
        <v>28</v>
      </c>
      <c r="F79" s="7"/>
      <c r="H79" t="s">
        <v>28</v>
      </c>
      <c r="I79" t="s">
        <v>82</v>
      </c>
      <c r="J79" t="s">
        <v>28</v>
      </c>
      <c r="K79" t="s">
        <v>84</v>
      </c>
      <c r="L79" t="s">
        <v>173</v>
      </c>
      <c r="M79" t="s">
        <v>307</v>
      </c>
      <c r="N79" t="s">
        <v>35</v>
      </c>
      <c r="O79" s="3"/>
      <c r="Q79" t="s">
        <v>28</v>
      </c>
      <c r="T79" t="s">
        <v>308</v>
      </c>
      <c r="U79" t="s">
        <v>276</v>
      </c>
      <c r="V79" t="str">
        <f>_xlfn.XLOOKUP(U79, Mapping!$A$2:$A$48, Mapping!$B$2:$B$48, "Unknown County")</f>
        <v>Rift Valley</v>
      </c>
    </row>
    <row r="80" spans="1:22" x14ac:dyDescent="0.3">
      <c r="A80" t="s">
        <v>309</v>
      </c>
      <c r="B80" t="s">
        <v>58</v>
      </c>
      <c r="C80" s="3">
        <v>43402</v>
      </c>
      <c r="D80" t="s">
        <v>22</v>
      </c>
      <c r="E80" t="s">
        <v>310</v>
      </c>
      <c r="F80" s="7">
        <v>79</v>
      </c>
      <c r="H80" t="s">
        <v>311</v>
      </c>
      <c r="I80" t="s">
        <v>94</v>
      </c>
      <c r="J80" t="s">
        <v>83</v>
      </c>
      <c r="K80" t="s">
        <v>84</v>
      </c>
      <c r="L80" t="s">
        <v>33</v>
      </c>
      <c r="M80" t="s">
        <v>28</v>
      </c>
      <c r="N80" t="s">
        <v>28</v>
      </c>
      <c r="O80" s="3"/>
      <c r="P80" s="3">
        <v>43401</v>
      </c>
      <c r="Q80" t="s">
        <v>29</v>
      </c>
      <c r="S80" s="7">
        <v>2817</v>
      </c>
      <c r="T80" t="s">
        <v>312</v>
      </c>
      <c r="U80" t="s">
        <v>313</v>
      </c>
      <c r="V80" t="str">
        <f>_xlfn.XLOOKUP(U80, Mapping!$A$2:$A$48, Mapping!$B$2:$B$48, "Unknown County")</f>
        <v>Western</v>
      </c>
    </row>
    <row r="81" spans="1:22" x14ac:dyDescent="0.3">
      <c r="A81" t="s">
        <v>314</v>
      </c>
      <c r="B81" t="s">
        <v>58</v>
      </c>
      <c r="C81" s="3">
        <v>42756</v>
      </c>
      <c r="D81" t="s">
        <v>22</v>
      </c>
      <c r="E81" t="s">
        <v>315</v>
      </c>
      <c r="F81" s="7"/>
      <c r="H81" t="s">
        <v>28</v>
      </c>
      <c r="I81" t="s">
        <v>186</v>
      </c>
      <c r="J81" t="s">
        <v>83</v>
      </c>
      <c r="K81" t="s">
        <v>26</v>
      </c>
      <c r="L81" t="s">
        <v>33</v>
      </c>
      <c r="M81" t="s">
        <v>28</v>
      </c>
      <c r="N81" t="s">
        <v>35</v>
      </c>
      <c r="O81" s="3"/>
      <c r="Q81" t="s">
        <v>28</v>
      </c>
      <c r="T81" t="s">
        <v>316</v>
      </c>
      <c r="U81" t="s">
        <v>313</v>
      </c>
      <c r="V81" t="str">
        <f>_xlfn.XLOOKUP(U81, Mapping!$A$2:$A$48, Mapping!$B$2:$B$48, "Unknown County")</f>
        <v>Western</v>
      </c>
    </row>
    <row r="82" spans="1:22" x14ac:dyDescent="0.3">
      <c r="A82" t="s">
        <v>317</v>
      </c>
      <c r="B82" t="s">
        <v>58</v>
      </c>
      <c r="C82" s="3">
        <v>43172</v>
      </c>
      <c r="D82" t="s">
        <v>22</v>
      </c>
      <c r="E82" t="s">
        <v>28</v>
      </c>
      <c r="F82" s="7">
        <v>10</v>
      </c>
      <c r="H82" t="s">
        <v>28</v>
      </c>
      <c r="I82" t="s">
        <v>82</v>
      </c>
      <c r="J82" t="s">
        <v>28</v>
      </c>
      <c r="K82" t="s">
        <v>84</v>
      </c>
      <c r="L82" t="s">
        <v>46</v>
      </c>
      <c r="M82" t="s">
        <v>28</v>
      </c>
      <c r="N82" t="s">
        <v>35</v>
      </c>
      <c r="O82" s="3"/>
      <c r="Q82" t="s">
        <v>28</v>
      </c>
      <c r="T82" t="s">
        <v>318</v>
      </c>
      <c r="U82" t="s">
        <v>313</v>
      </c>
      <c r="V82" t="str">
        <f>_xlfn.XLOOKUP(U82, Mapping!$A$2:$A$48, Mapping!$B$2:$B$48, "Unknown County")</f>
        <v>Western</v>
      </c>
    </row>
    <row r="83" spans="1:22" x14ac:dyDescent="0.3">
      <c r="A83" t="s">
        <v>319</v>
      </c>
      <c r="B83" t="s">
        <v>63</v>
      </c>
      <c r="C83" s="3">
        <v>43190</v>
      </c>
      <c r="D83" t="s">
        <v>22</v>
      </c>
      <c r="E83" t="s">
        <v>28</v>
      </c>
      <c r="F83" s="7">
        <v>37</v>
      </c>
      <c r="H83" t="s">
        <v>28</v>
      </c>
      <c r="I83" t="s">
        <v>39</v>
      </c>
      <c r="J83" t="s">
        <v>25</v>
      </c>
      <c r="K83" t="s">
        <v>84</v>
      </c>
      <c r="L83" t="s">
        <v>59</v>
      </c>
      <c r="M83" t="s">
        <v>60</v>
      </c>
      <c r="N83" t="s">
        <v>35</v>
      </c>
      <c r="O83" s="3"/>
      <c r="Q83" t="s">
        <v>28</v>
      </c>
      <c r="T83" t="s">
        <v>320</v>
      </c>
      <c r="U83" t="s">
        <v>313</v>
      </c>
      <c r="V83" t="str">
        <f>_xlfn.XLOOKUP(U83, Mapping!$A$2:$A$48, Mapping!$B$2:$B$48, "Unknown County")</f>
        <v>Western</v>
      </c>
    </row>
    <row r="84" spans="1:22" x14ac:dyDescent="0.3">
      <c r="A84" t="s">
        <v>321</v>
      </c>
      <c r="B84" t="s">
        <v>58</v>
      </c>
      <c r="C84" s="3">
        <v>43259</v>
      </c>
      <c r="D84" t="s">
        <v>22</v>
      </c>
      <c r="E84" t="s">
        <v>322</v>
      </c>
      <c r="F84" s="7">
        <v>34</v>
      </c>
      <c r="H84" t="s">
        <v>28</v>
      </c>
      <c r="I84" t="s">
        <v>39</v>
      </c>
      <c r="J84" t="s">
        <v>25</v>
      </c>
      <c r="K84" t="s">
        <v>26</v>
      </c>
      <c r="L84" t="s">
        <v>59</v>
      </c>
      <c r="M84" t="s">
        <v>34</v>
      </c>
      <c r="N84" t="s">
        <v>35</v>
      </c>
      <c r="O84" s="3"/>
      <c r="Q84" t="s">
        <v>28</v>
      </c>
      <c r="T84" t="s">
        <v>323</v>
      </c>
      <c r="U84" t="s">
        <v>313</v>
      </c>
      <c r="V84" t="str">
        <f>_xlfn.XLOOKUP(U84, Mapping!$A$2:$A$48, Mapping!$B$2:$B$48, "Unknown County")</f>
        <v>Western</v>
      </c>
    </row>
    <row r="85" spans="1:22" x14ac:dyDescent="0.3">
      <c r="A85" t="s">
        <v>28</v>
      </c>
      <c r="B85" t="s">
        <v>47</v>
      </c>
      <c r="D85" t="s">
        <v>22</v>
      </c>
      <c r="E85" t="s">
        <v>324</v>
      </c>
      <c r="F85" s="7"/>
      <c r="H85" t="s">
        <v>28</v>
      </c>
      <c r="I85" t="s">
        <v>39</v>
      </c>
      <c r="J85" t="s">
        <v>28</v>
      </c>
      <c r="K85" t="s">
        <v>28</v>
      </c>
      <c r="L85" t="s">
        <v>46</v>
      </c>
      <c r="M85" t="s">
        <v>28</v>
      </c>
      <c r="N85" t="s">
        <v>28</v>
      </c>
      <c r="O85" s="3"/>
      <c r="Q85" t="s">
        <v>28</v>
      </c>
      <c r="T85" t="s">
        <v>325</v>
      </c>
      <c r="U85" t="s">
        <v>313</v>
      </c>
      <c r="V85" t="str">
        <f>_xlfn.XLOOKUP(U85, Mapping!$A$2:$A$48, Mapping!$B$2:$B$48, "Unknown County")</f>
        <v>Western</v>
      </c>
    </row>
    <row r="86" spans="1:22" x14ac:dyDescent="0.3">
      <c r="A86" t="s">
        <v>28</v>
      </c>
      <c r="B86" t="s">
        <v>326</v>
      </c>
      <c r="D86" t="s">
        <v>22</v>
      </c>
      <c r="E86" t="s">
        <v>327</v>
      </c>
      <c r="F86" s="7"/>
      <c r="H86" t="s">
        <v>28</v>
      </c>
      <c r="I86" t="s">
        <v>39</v>
      </c>
      <c r="J86" t="s">
        <v>28</v>
      </c>
      <c r="K86" t="s">
        <v>28</v>
      </c>
      <c r="L86" t="s">
        <v>46</v>
      </c>
      <c r="M86" t="s">
        <v>28</v>
      </c>
      <c r="N86" t="s">
        <v>28</v>
      </c>
      <c r="O86" s="3"/>
      <c r="Q86" t="s">
        <v>28</v>
      </c>
      <c r="T86" t="s">
        <v>325</v>
      </c>
      <c r="U86" t="s">
        <v>313</v>
      </c>
      <c r="V86" t="str">
        <f>_xlfn.XLOOKUP(U86, Mapping!$A$2:$A$48, Mapping!$B$2:$B$48, "Unknown County")</f>
        <v>Western</v>
      </c>
    </row>
    <row r="87" spans="1:22" x14ac:dyDescent="0.3">
      <c r="A87" t="s">
        <v>28</v>
      </c>
      <c r="B87" t="s">
        <v>47</v>
      </c>
      <c r="D87" t="s">
        <v>22</v>
      </c>
      <c r="E87" t="s">
        <v>328</v>
      </c>
      <c r="F87" s="7"/>
      <c r="H87" t="s">
        <v>28</v>
      </c>
      <c r="I87" t="s">
        <v>70</v>
      </c>
      <c r="J87" t="s">
        <v>28</v>
      </c>
      <c r="K87" t="s">
        <v>28</v>
      </c>
      <c r="L87" t="s">
        <v>46</v>
      </c>
      <c r="M87" t="s">
        <v>28</v>
      </c>
      <c r="N87" t="s">
        <v>28</v>
      </c>
      <c r="O87" s="3"/>
      <c r="Q87" t="s">
        <v>28</v>
      </c>
      <c r="T87" t="s">
        <v>325</v>
      </c>
      <c r="U87" t="s">
        <v>313</v>
      </c>
      <c r="V87" t="str">
        <f>_xlfn.XLOOKUP(U87, Mapping!$A$2:$A$48, Mapping!$B$2:$B$48, "Unknown County")</f>
        <v>Western</v>
      </c>
    </row>
    <row r="88" spans="1:22" x14ac:dyDescent="0.3">
      <c r="A88" t="s">
        <v>329</v>
      </c>
      <c r="B88" t="s">
        <v>63</v>
      </c>
      <c r="C88" s="3">
        <v>43547</v>
      </c>
      <c r="D88" t="s">
        <v>22</v>
      </c>
      <c r="E88" t="s">
        <v>330</v>
      </c>
      <c r="F88" s="7"/>
      <c r="H88" t="s">
        <v>331</v>
      </c>
      <c r="I88" t="s">
        <v>70</v>
      </c>
      <c r="J88" t="s">
        <v>25</v>
      </c>
      <c r="K88" t="s">
        <v>26</v>
      </c>
      <c r="L88" t="s">
        <v>139</v>
      </c>
      <c r="M88" t="s">
        <v>34</v>
      </c>
      <c r="N88" t="s">
        <v>1384</v>
      </c>
      <c r="O88" s="3">
        <v>43542</v>
      </c>
      <c r="Q88" t="s">
        <v>28</v>
      </c>
      <c r="T88" t="s">
        <v>332</v>
      </c>
      <c r="U88" t="s">
        <v>313</v>
      </c>
      <c r="V88" t="str">
        <f>_xlfn.XLOOKUP(U88, Mapping!$A$2:$A$48, Mapping!$B$2:$B$48, "Unknown County")</f>
        <v>Western</v>
      </c>
    </row>
    <row r="89" spans="1:22" x14ac:dyDescent="0.3">
      <c r="A89" t="s">
        <v>28</v>
      </c>
      <c r="B89" t="s">
        <v>58</v>
      </c>
      <c r="C89" s="3">
        <v>43592</v>
      </c>
      <c r="D89" t="s">
        <v>22</v>
      </c>
      <c r="E89" t="s">
        <v>333</v>
      </c>
      <c r="F89" s="7">
        <v>40</v>
      </c>
      <c r="G89" s="3">
        <v>43592</v>
      </c>
      <c r="H89" t="s">
        <v>28</v>
      </c>
      <c r="I89" t="s">
        <v>82</v>
      </c>
      <c r="J89" t="s">
        <v>83</v>
      </c>
      <c r="K89" t="s">
        <v>26</v>
      </c>
      <c r="L89" t="s">
        <v>33</v>
      </c>
      <c r="M89" t="s">
        <v>28</v>
      </c>
      <c r="N89" t="s">
        <v>35</v>
      </c>
      <c r="O89" s="3"/>
      <c r="Q89" t="s">
        <v>28</v>
      </c>
      <c r="T89" t="s">
        <v>334</v>
      </c>
      <c r="U89" t="s">
        <v>313</v>
      </c>
      <c r="V89" t="str">
        <f>_xlfn.XLOOKUP(U89, Mapping!$A$2:$A$48, Mapping!$B$2:$B$48, "Unknown County")</f>
        <v>Western</v>
      </c>
    </row>
    <row r="90" spans="1:22" x14ac:dyDescent="0.3">
      <c r="A90" t="s">
        <v>329</v>
      </c>
      <c r="B90" t="s">
        <v>63</v>
      </c>
      <c r="C90" s="3">
        <v>43620</v>
      </c>
      <c r="D90" t="s">
        <v>22</v>
      </c>
      <c r="E90" t="s">
        <v>335</v>
      </c>
      <c r="F90" s="7">
        <v>29</v>
      </c>
      <c r="H90" t="s">
        <v>336</v>
      </c>
      <c r="I90" t="s">
        <v>39</v>
      </c>
      <c r="J90" t="s">
        <v>25</v>
      </c>
      <c r="K90" t="s">
        <v>26</v>
      </c>
      <c r="L90" t="s">
        <v>59</v>
      </c>
      <c r="M90" t="s">
        <v>60</v>
      </c>
      <c r="N90" t="s">
        <v>35</v>
      </c>
      <c r="O90" s="3"/>
      <c r="Q90" t="s">
        <v>28</v>
      </c>
      <c r="T90" t="s">
        <v>337</v>
      </c>
      <c r="U90" t="s">
        <v>313</v>
      </c>
      <c r="V90" t="str">
        <f>_xlfn.XLOOKUP(U90, Mapping!$A$2:$A$48, Mapping!$B$2:$B$48, "Unknown County")</f>
        <v>Western</v>
      </c>
    </row>
    <row r="91" spans="1:22" x14ac:dyDescent="0.3">
      <c r="A91" t="s">
        <v>338</v>
      </c>
      <c r="B91" t="s">
        <v>339</v>
      </c>
      <c r="D91" t="s">
        <v>22</v>
      </c>
      <c r="E91" t="s">
        <v>340</v>
      </c>
      <c r="F91" s="7">
        <v>44</v>
      </c>
      <c r="H91" t="s">
        <v>341</v>
      </c>
      <c r="I91" t="s">
        <v>39</v>
      </c>
      <c r="J91" t="s">
        <v>25</v>
      </c>
      <c r="K91" t="s">
        <v>71</v>
      </c>
      <c r="L91" t="s">
        <v>33</v>
      </c>
      <c r="M91" t="s">
        <v>342</v>
      </c>
      <c r="N91" t="s">
        <v>28</v>
      </c>
      <c r="O91" s="3"/>
      <c r="Q91" t="s">
        <v>28</v>
      </c>
      <c r="T91" t="s">
        <v>343</v>
      </c>
      <c r="U91" t="s">
        <v>313</v>
      </c>
      <c r="V91" t="str">
        <f>_xlfn.XLOOKUP(U91, Mapping!$A$2:$A$48, Mapping!$B$2:$B$48, "Unknown County")</f>
        <v>Western</v>
      </c>
    </row>
    <row r="92" spans="1:22" x14ac:dyDescent="0.3">
      <c r="A92" t="s">
        <v>344</v>
      </c>
      <c r="B92" t="s">
        <v>135</v>
      </c>
      <c r="C92" s="3">
        <v>44313</v>
      </c>
      <c r="D92" t="s">
        <v>22</v>
      </c>
      <c r="E92" t="s">
        <v>345</v>
      </c>
      <c r="F92" s="7">
        <v>35</v>
      </c>
      <c r="H92" t="s">
        <v>346</v>
      </c>
      <c r="I92" t="s">
        <v>39</v>
      </c>
      <c r="J92" t="s">
        <v>28</v>
      </c>
      <c r="K92" t="s">
        <v>71</v>
      </c>
      <c r="L92" t="s">
        <v>59</v>
      </c>
      <c r="M92" t="s">
        <v>28</v>
      </c>
      <c r="N92" t="s">
        <v>28</v>
      </c>
      <c r="O92" s="3"/>
      <c r="Q92" t="s">
        <v>28</v>
      </c>
      <c r="T92" t="s">
        <v>347</v>
      </c>
      <c r="U92" t="s">
        <v>313</v>
      </c>
      <c r="V92" t="str">
        <f>_xlfn.XLOOKUP(U92, Mapping!$A$2:$A$48, Mapping!$B$2:$B$48, "Unknown County")</f>
        <v>Western</v>
      </c>
    </row>
    <row r="93" spans="1:22" x14ac:dyDescent="0.3">
      <c r="A93" t="s">
        <v>348</v>
      </c>
      <c r="B93" t="s">
        <v>58</v>
      </c>
      <c r="C93" s="3">
        <v>44349</v>
      </c>
      <c r="D93" t="s">
        <v>22</v>
      </c>
      <c r="E93" t="s">
        <v>28</v>
      </c>
      <c r="F93" s="7"/>
      <c r="H93" t="s">
        <v>28</v>
      </c>
      <c r="I93" t="s">
        <v>82</v>
      </c>
      <c r="J93" t="s">
        <v>83</v>
      </c>
      <c r="K93" t="s">
        <v>84</v>
      </c>
      <c r="L93" t="s">
        <v>173</v>
      </c>
      <c r="M93" t="s">
        <v>28</v>
      </c>
      <c r="N93" t="s">
        <v>35</v>
      </c>
      <c r="O93" s="3"/>
      <c r="Q93" t="s">
        <v>28</v>
      </c>
      <c r="T93" t="s">
        <v>349</v>
      </c>
      <c r="U93" t="s">
        <v>313</v>
      </c>
      <c r="V93" t="str">
        <f>_xlfn.XLOOKUP(U93, Mapping!$A$2:$A$48, Mapping!$B$2:$B$48, "Unknown County")</f>
        <v>Western</v>
      </c>
    </row>
    <row r="94" spans="1:22" x14ac:dyDescent="0.3">
      <c r="A94" t="s">
        <v>350</v>
      </c>
      <c r="B94" t="s">
        <v>58</v>
      </c>
      <c r="C94" s="3">
        <v>44676</v>
      </c>
      <c r="D94" t="s">
        <v>22</v>
      </c>
      <c r="E94" t="s">
        <v>351</v>
      </c>
      <c r="F94" s="7">
        <v>22</v>
      </c>
      <c r="H94" t="s">
        <v>28</v>
      </c>
      <c r="I94" t="s">
        <v>39</v>
      </c>
      <c r="J94" t="s">
        <v>25</v>
      </c>
      <c r="K94" t="s">
        <v>26</v>
      </c>
      <c r="L94" t="s">
        <v>165</v>
      </c>
      <c r="M94" t="s">
        <v>60</v>
      </c>
      <c r="N94" t="s">
        <v>35</v>
      </c>
      <c r="O94" s="3"/>
      <c r="Q94" t="s">
        <v>28</v>
      </c>
      <c r="T94" t="s">
        <v>352</v>
      </c>
      <c r="U94" t="s">
        <v>313</v>
      </c>
      <c r="V94" t="str">
        <f>_xlfn.XLOOKUP(U94, Mapping!$A$2:$A$48, Mapping!$B$2:$B$48, "Unknown County")</f>
        <v>Western</v>
      </c>
    </row>
    <row r="95" spans="1:22" x14ac:dyDescent="0.3">
      <c r="A95" t="s">
        <v>353</v>
      </c>
      <c r="B95" t="s">
        <v>31</v>
      </c>
      <c r="C95" s="3">
        <v>44929</v>
      </c>
      <c r="D95" t="s">
        <v>22</v>
      </c>
      <c r="E95" t="s">
        <v>354</v>
      </c>
      <c r="F95" s="7">
        <v>54</v>
      </c>
      <c r="H95" t="s">
        <v>28</v>
      </c>
      <c r="I95" t="s">
        <v>39</v>
      </c>
      <c r="J95" t="s">
        <v>25</v>
      </c>
      <c r="K95" t="s">
        <v>302</v>
      </c>
      <c r="L95" t="s">
        <v>40</v>
      </c>
      <c r="M95" t="s">
        <v>355</v>
      </c>
      <c r="N95" t="s">
        <v>35</v>
      </c>
      <c r="O95" s="3"/>
      <c r="Q95" t="s">
        <v>28</v>
      </c>
      <c r="T95" t="s">
        <v>332</v>
      </c>
      <c r="U95" t="s">
        <v>313</v>
      </c>
      <c r="V95" t="str">
        <f>_xlfn.XLOOKUP(U95, Mapping!$A$2:$A$48, Mapping!$B$2:$B$48, "Unknown County")</f>
        <v>Western</v>
      </c>
    </row>
    <row r="96" spans="1:22" x14ac:dyDescent="0.3">
      <c r="A96" t="s">
        <v>356</v>
      </c>
      <c r="B96" t="s">
        <v>256</v>
      </c>
      <c r="C96" s="3">
        <v>45265</v>
      </c>
      <c r="D96" t="s">
        <v>22</v>
      </c>
      <c r="E96" t="s">
        <v>357</v>
      </c>
      <c r="F96" s="7">
        <v>38</v>
      </c>
      <c r="H96" t="s">
        <v>358</v>
      </c>
      <c r="I96" t="s">
        <v>39</v>
      </c>
      <c r="J96" t="s">
        <v>88</v>
      </c>
      <c r="K96" t="s">
        <v>71</v>
      </c>
      <c r="L96" t="s">
        <v>46</v>
      </c>
      <c r="M96" t="s">
        <v>359</v>
      </c>
      <c r="N96" t="s">
        <v>360</v>
      </c>
      <c r="O96" s="3"/>
      <c r="Q96" t="s">
        <v>28</v>
      </c>
      <c r="T96" t="s">
        <v>361</v>
      </c>
      <c r="U96" t="s">
        <v>313</v>
      </c>
      <c r="V96" t="str">
        <f>_xlfn.XLOOKUP(U96, Mapping!$A$2:$A$48, Mapping!$B$2:$B$48, "Unknown County")</f>
        <v>Western</v>
      </c>
    </row>
    <row r="97" spans="1:22" x14ac:dyDescent="0.3">
      <c r="A97" t="s">
        <v>362</v>
      </c>
      <c r="B97" t="s">
        <v>21</v>
      </c>
      <c r="C97" s="3">
        <v>44985</v>
      </c>
      <c r="D97" t="s">
        <v>22</v>
      </c>
      <c r="E97" t="s">
        <v>363</v>
      </c>
      <c r="F97" s="7">
        <v>53</v>
      </c>
      <c r="H97" t="s">
        <v>364</v>
      </c>
      <c r="I97" t="s">
        <v>39</v>
      </c>
      <c r="J97" t="s">
        <v>25</v>
      </c>
      <c r="K97" t="s">
        <v>71</v>
      </c>
      <c r="L97" t="s">
        <v>59</v>
      </c>
      <c r="M97" t="s">
        <v>28</v>
      </c>
      <c r="N97" t="s">
        <v>35</v>
      </c>
      <c r="O97" s="3"/>
      <c r="Q97" t="s">
        <v>28</v>
      </c>
      <c r="T97" t="s">
        <v>365</v>
      </c>
      <c r="U97" t="s">
        <v>1314</v>
      </c>
      <c r="V97" t="str">
        <f>_xlfn.XLOOKUP(U97, Mapping!$A$2:$A$48, Mapping!$B$2:$B$48, "Unknown County")</f>
        <v>Rift Valley</v>
      </c>
    </row>
    <row r="98" spans="1:22" x14ac:dyDescent="0.3">
      <c r="A98" t="s">
        <v>366</v>
      </c>
      <c r="B98" t="s">
        <v>58</v>
      </c>
      <c r="C98" s="3">
        <v>43433</v>
      </c>
      <c r="D98" t="s">
        <v>22</v>
      </c>
      <c r="E98" t="s">
        <v>367</v>
      </c>
      <c r="F98" s="7"/>
      <c r="H98" t="s">
        <v>368</v>
      </c>
      <c r="I98" t="s">
        <v>39</v>
      </c>
      <c r="J98" t="s">
        <v>25</v>
      </c>
      <c r="K98" t="s">
        <v>26</v>
      </c>
      <c r="L98" t="s">
        <v>165</v>
      </c>
      <c r="M98" t="s">
        <v>34</v>
      </c>
      <c r="N98" t="s">
        <v>28</v>
      </c>
      <c r="O98" s="3">
        <v>41725</v>
      </c>
      <c r="P98" s="3">
        <v>43433</v>
      </c>
      <c r="Q98" t="s">
        <v>29</v>
      </c>
      <c r="S98" s="7">
        <v>1714</v>
      </c>
      <c r="T98" t="s">
        <v>369</v>
      </c>
      <c r="U98" t="s">
        <v>370</v>
      </c>
      <c r="V98" t="str">
        <f>_xlfn.XLOOKUP(U98, Mapping!$A$2:$A$48, Mapping!$B$2:$B$48, "Unknown County")</f>
        <v>Rift Valley</v>
      </c>
    </row>
    <row r="99" spans="1:22" x14ac:dyDescent="0.3">
      <c r="A99" t="s">
        <v>371</v>
      </c>
      <c r="B99" t="s">
        <v>256</v>
      </c>
      <c r="C99" s="3">
        <v>43003</v>
      </c>
      <c r="D99" t="s">
        <v>22</v>
      </c>
      <c r="E99" t="s">
        <v>372</v>
      </c>
      <c r="F99" s="7">
        <v>26</v>
      </c>
      <c r="H99" t="s">
        <v>28</v>
      </c>
      <c r="I99" t="s">
        <v>39</v>
      </c>
      <c r="J99" t="s">
        <v>25</v>
      </c>
      <c r="K99" t="s">
        <v>26</v>
      </c>
      <c r="L99" t="s">
        <v>258</v>
      </c>
      <c r="M99" t="s">
        <v>373</v>
      </c>
      <c r="N99" t="s">
        <v>174</v>
      </c>
      <c r="O99" s="3"/>
      <c r="Q99" t="s">
        <v>28</v>
      </c>
      <c r="T99" t="s">
        <v>374</v>
      </c>
      <c r="U99" t="s">
        <v>370</v>
      </c>
      <c r="V99" t="str">
        <f>_xlfn.XLOOKUP(U99, Mapping!$A$2:$A$48, Mapping!$B$2:$B$48, "Unknown County")</f>
        <v>Rift Valley</v>
      </c>
    </row>
    <row r="100" spans="1:22" x14ac:dyDescent="0.3">
      <c r="A100" t="s">
        <v>366</v>
      </c>
      <c r="B100" t="s">
        <v>58</v>
      </c>
      <c r="C100" s="3">
        <v>43287</v>
      </c>
      <c r="D100" t="s">
        <v>22</v>
      </c>
      <c r="E100" t="s">
        <v>28</v>
      </c>
      <c r="F100" s="7">
        <v>28</v>
      </c>
      <c r="H100" t="s">
        <v>375</v>
      </c>
      <c r="I100" t="s">
        <v>39</v>
      </c>
      <c r="J100" t="s">
        <v>25</v>
      </c>
      <c r="K100" t="s">
        <v>26</v>
      </c>
      <c r="L100" t="s">
        <v>33</v>
      </c>
      <c r="M100" t="s">
        <v>34</v>
      </c>
      <c r="N100" t="s">
        <v>35</v>
      </c>
      <c r="O100" s="3"/>
      <c r="Q100" t="s">
        <v>28</v>
      </c>
      <c r="T100" t="s">
        <v>376</v>
      </c>
      <c r="U100" t="s">
        <v>370</v>
      </c>
      <c r="V100" t="str">
        <f>_xlfn.XLOOKUP(U100, Mapping!$A$2:$A$48, Mapping!$B$2:$B$48, "Unknown County")</f>
        <v>Rift Valley</v>
      </c>
    </row>
    <row r="101" spans="1:22" x14ac:dyDescent="0.3">
      <c r="A101" t="s">
        <v>377</v>
      </c>
      <c r="B101" t="s">
        <v>279</v>
      </c>
      <c r="C101" s="3">
        <v>43525</v>
      </c>
      <c r="D101" t="s">
        <v>22</v>
      </c>
      <c r="E101" t="s">
        <v>378</v>
      </c>
      <c r="F101" s="7">
        <v>73</v>
      </c>
      <c r="H101" t="s">
        <v>28</v>
      </c>
      <c r="I101" t="s">
        <v>82</v>
      </c>
      <c r="J101" t="s">
        <v>83</v>
      </c>
      <c r="K101" t="s">
        <v>26</v>
      </c>
      <c r="L101" t="s">
        <v>40</v>
      </c>
      <c r="M101" t="s">
        <v>379</v>
      </c>
      <c r="N101" t="s">
        <v>35</v>
      </c>
      <c r="O101" s="3"/>
      <c r="Q101" t="s">
        <v>28</v>
      </c>
      <c r="T101" t="s">
        <v>380</v>
      </c>
      <c r="U101" t="s">
        <v>370</v>
      </c>
      <c r="V101" t="str">
        <f>_xlfn.XLOOKUP(U101, Mapping!$A$2:$A$48, Mapping!$B$2:$B$48, "Unknown County")</f>
        <v>Rift Valley</v>
      </c>
    </row>
    <row r="102" spans="1:22" x14ac:dyDescent="0.3">
      <c r="A102" t="s">
        <v>28</v>
      </c>
      <c r="B102" t="s">
        <v>381</v>
      </c>
      <c r="D102" t="s">
        <v>22</v>
      </c>
      <c r="E102" t="s">
        <v>382</v>
      </c>
      <c r="F102" s="7">
        <v>40</v>
      </c>
      <c r="H102" t="s">
        <v>28</v>
      </c>
      <c r="I102" t="s">
        <v>39</v>
      </c>
      <c r="J102" t="s">
        <v>28</v>
      </c>
      <c r="K102" t="s">
        <v>28</v>
      </c>
      <c r="L102" t="s">
        <v>46</v>
      </c>
      <c r="M102" t="s">
        <v>28</v>
      </c>
      <c r="N102" t="s">
        <v>28</v>
      </c>
      <c r="O102" s="3"/>
      <c r="Q102" t="s">
        <v>28</v>
      </c>
      <c r="T102" t="s">
        <v>383</v>
      </c>
      <c r="U102" t="s">
        <v>370</v>
      </c>
      <c r="V102" t="str">
        <f>_xlfn.XLOOKUP(U102, Mapping!$A$2:$A$48, Mapping!$B$2:$B$48, "Unknown County")</f>
        <v>Rift Valley</v>
      </c>
    </row>
    <row r="103" spans="1:22" x14ac:dyDescent="0.3">
      <c r="A103" t="s">
        <v>384</v>
      </c>
      <c r="B103" t="s">
        <v>58</v>
      </c>
      <c r="C103" s="3">
        <v>44508</v>
      </c>
      <c r="D103" t="s">
        <v>22</v>
      </c>
      <c r="E103" t="s">
        <v>385</v>
      </c>
      <c r="F103" s="7"/>
      <c r="H103" t="s">
        <v>386</v>
      </c>
      <c r="I103" t="s">
        <v>39</v>
      </c>
      <c r="J103" t="s">
        <v>25</v>
      </c>
      <c r="K103" t="s">
        <v>26</v>
      </c>
      <c r="L103" t="s">
        <v>33</v>
      </c>
      <c r="M103" t="s">
        <v>34</v>
      </c>
      <c r="N103" t="s">
        <v>28</v>
      </c>
      <c r="O103" s="3"/>
      <c r="P103" s="3">
        <v>44508</v>
      </c>
      <c r="Q103" t="s">
        <v>29</v>
      </c>
      <c r="R103" s="7">
        <v>5</v>
      </c>
      <c r="S103" s="7">
        <v>361</v>
      </c>
      <c r="T103" t="s">
        <v>387</v>
      </c>
      <c r="U103" t="s">
        <v>370</v>
      </c>
      <c r="V103" t="str">
        <f>_xlfn.XLOOKUP(U103, Mapping!$A$2:$A$48, Mapping!$B$2:$B$48, "Unknown County")</f>
        <v>Rift Valley</v>
      </c>
    </row>
    <row r="104" spans="1:22" x14ac:dyDescent="0.3">
      <c r="A104" t="s">
        <v>388</v>
      </c>
      <c r="B104" t="s">
        <v>21</v>
      </c>
      <c r="C104" s="3">
        <v>44686</v>
      </c>
      <c r="D104" t="s">
        <v>22</v>
      </c>
      <c r="E104" t="s">
        <v>389</v>
      </c>
      <c r="F104" s="7">
        <v>22</v>
      </c>
      <c r="G104" s="3">
        <v>44685</v>
      </c>
      <c r="H104" t="s">
        <v>390</v>
      </c>
      <c r="I104" t="s">
        <v>70</v>
      </c>
      <c r="J104" t="s">
        <v>25</v>
      </c>
      <c r="K104" t="s">
        <v>106</v>
      </c>
      <c r="L104" t="s">
        <v>59</v>
      </c>
      <c r="M104" t="s">
        <v>225</v>
      </c>
      <c r="N104" t="s">
        <v>35</v>
      </c>
      <c r="O104" s="3"/>
      <c r="Q104" t="s">
        <v>28</v>
      </c>
      <c r="T104" t="s">
        <v>391</v>
      </c>
      <c r="U104" t="s">
        <v>370</v>
      </c>
      <c r="V104" t="str">
        <f>_xlfn.XLOOKUP(U104, Mapping!$A$2:$A$48, Mapping!$B$2:$B$48, "Unknown County")</f>
        <v>Rift Valley</v>
      </c>
    </row>
    <row r="105" spans="1:22" x14ac:dyDescent="0.3">
      <c r="A105" t="s">
        <v>62</v>
      </c>
      <c r="B105" t="s">
        <v>63</v>
      </c>
      <c r="C105" s="3">
        <v>45049</v>
      </c>
      <c r="D105" t="s">
        <v>22</v>
      </c>
      <c r="E105" t="s">
        <v>28</v>
      </c>
      <c r="F105" s="7">
        <v>32</v>
      </c>
      <c r="G105" s="3">
        <v>45048</v>
      </c>
      <c r="H105" t="s">
        <v>28</v>
      </c>
      <c r="I105" t="s">
        <v>39</v>
      </c>
      <c r="J105" t="s">
        <v>25</v>
      </c>
      <c r="K105" t="s">
        <v>71</v>
      </c>
      <c r="L105" t="s">
        <v>40</v>
      </c>
      <c r="M105" t="s">
        <v>28</v>
      </c>
      <c r="N105" t="s">
        <v>35</v>
      </c>
      <c r="O105" s="3"/>
      <c r="Q105" t="s">
        <v>28</v>
      </c>
      <c r="T105" t="s">
        <v>392</v>
      </c>
      <c r="U105" t="s">
        <v>370</v>
      </c>
      <c r="V105" t="str">
        <f>_xlfn.XLOOKUP(U105, Mapping!$A$2:$A$48, Mapping!$B$2:$B$48, "Unknown County")</f>
        <v>Rift Valley</v>
      </c>
    </row>
    <row r="106" spans="1:22" x14ac:dyDescent="0.3">
      <c r="A106" t="s">
        <v>192</v>
      </c>
      <c r="B106" t="s">
        <v>21</v>
      </c>
      <c r="C106" s="3">
        <v>45084</v>
      </c>
      <c r="D106" t="s">
        <v>22</v>
      </c>
      <c r="E106" t="s">
        <v>393</v>
      </c>
      <c r="F106" s="7"/>
      <c r="H106" t="s">
        <v>394</v>
      </c>
      <c r="I106" t="s">
        <v>70</v>
      </c>
      <c r="J106" t="s">
        <v>25</v>
      </c>
      <c r="K106" t="s">
        <v>395</v>
      </c>
      <c r="L106" t="s">
        <v>139</v>
      </c>
      <c r="M106" t="s">
        <v>28</v>
      </c>
      <c r="N106" t="s">
        <v>396</v>
      </c>
      <c r="O106" s="3"/>
      <c r="Q106" t="s">
        <v>28</v>
      </c>
      <c r="T106" t="s">
        <v>397</v>
      </c>
      <c r="U106" t="s">
        <v>370</v>
      </c>
      <c r="V106" t="str">
        <f>_xlfn.XLOOKUP(U106, Mapping!$A$2:$A$48, Mapping!$B$2:$B$48, "Unknown County")</f>
        <v>Rift Valley</v>
      </c>
    </row>
    <row r="107" spans="1:22" x14ac:dyDescent="0.3">
      <c r="A107" t="s">
        <v>62</v>
      </c>
      <c r="B107" t="s">
        <v>63</v>
      </c>
      <c r="C107" s="3">
        <v>45084</v>
      </c>
      <c r="D107" t="s">
        <v>22</v>
      </c>
      <c r="E107" t="s">
        <v>28</v>
      </c>
      <c r="F107" s="7"/>
      <c r="H107" t="s">
        <v>28</v>
      </c>
      <c r="I107" t="s">
        <v>70</v>
      </c>
      <c r="J107" t="s">
        <v>25</v>
      </c>
      <c r="K107" t="s">
        <v>84</v>
      </c>
      <c r="L107" t="s">
        <v>139</v>
      </c>
      <c r="M107" t="s">
        <v>28</v>
      </c>
      <c r="N107" t="s">
        <v>396</v>
      </c>
      <c r="O107" s="3"/>
      <c r="Q107" t="s">
        <v>28</v>
      </c>
      <c r="T107" t="s">
        <v>398</v>
      </c>
      <c r="U107" t="s">
        <v>370</v>
      </c>
      <c r="V107" t="str">
        <f>_xlfn.XLOOKUP(U107, Mapping!$A$2:$A$48, Mapping!$B$2:$B$48, "Unknown County")</f>
        <v>Rift Valley</v>
      </c>
    </row>
    <row r="108" spans="1:22" x14ac:dyDescent="0.3">
      <c r="A108" t="s">
        <v>28</v>
      </c>
      <c r="B108" t="s">
        <v>21</v>
      </c>
      <c r="C108" s="3">
        <v>45161</v>
      </c>
      <c r="D108" t="s">
        <v>22</v>
      </c>
      <c r="E108" t="s">
        <v>28</v>
      </c>
      <c r="F108" s="7">
        <v>27</v>
      </c>
      <c r="H108" t="s">
        <v>28</v>
      </c>
      <c r="I108" t="s">
        <v>82</v>
      </c>
      <c r="J108" t="s">
        <v>28</v>
      </c>
      <c r="K108" t="s">
        <v>71</v>
      </c>
      <c r="L108" t="s">
        <v>27</v>
      </c>
      <c r="M108" t="s">
        <v>28</v>
      </c>
      <c r="N108" t="s">
        <v>35</v>
      </c>
      <c r="O108" s="3"/>
      <c r="Q108" t="s">
        <v>28</v>
      </c>
      <c r="T108" t="s">
        <v>399</v>
      </c>
      <c r="U108" t="s">
        <v>370</v>
      </c>
      <c r="V108" t="str">
        <f>_xlfn.XLOOKUP(U108, Mapping!$A$2:$A$48, Mapping!$B$2:$B$48, "Unknown County")</f>
        <v>Rift Valley</v>
      </c>
    </row>
    <row r="109" spans="1:22" x14ac:dyDescent="0.3">
      <c r="A109" t="s">
        <v>62</v>
      </c>
      <c r="B109" t="s">
        <v>143</v>
      </c>
      <c r="C109" s="3">
        <v>45258</v>
      </c>
      <c r="D109" t="s">
        <v>22</v>
      </c>
      <c r="E109" t="s">
        <v>400</v>
      </c>
      <c r="F109" s="7"/>
      <c r="H109" t="s">
        <v>401</v>
      </c>
      <c r="I109" t="s">
        <v>39</v>
      </c>
      <c r="J109" t="s">
        <v>88</v>
      </c>
      <c r="K109" t="s">
        <v>84</v>
      </c>
      <c r="L109" t="s">
        <v>59</v>
      </c>
      <c r="M109" t="s">
        <v>402</v>
      </c>
      <c r="N109" t="s">
        <v>35</v>
      </c>
      <c r="O109" s="3"/>
      <c r="Q109" t="s">
        <v>28</v>
      </c>
      <c r="T109" t="s">
        <v>403</v>
      </c>
      <c r="U109" t="s">
        <v>370</v>
      </c>
      <c r="V109" t="str">
        <f>_xlfn.XLOOKUP(U109, Mapping!$A$2:$A$48, Mapping!$B$2:$B$48, "Unknown County")</f>
        <v>Rift Valley</v>
      </c>
    </row>
    <row r="110" spans="1:22" x14ac:dyDescent="0.3">
      <c r="A110" t="s">
        <v>404</v>
      </c>
      <c r="B110" t="s">
        <v>21</v>
      </c>
      <c r="C110" s="3">
        <v>43179</v>
      </c>
      <c r="D110" t="s">
        <v>22</v>
      </c>
      <c r="E110" t="s">
        <v>405</v>
      </c>
      <c r="F110" s="7"/>
      <c r="H110" t="s">
        <v>406</v>
      </c>
      <c r="I110" t="s">
        <v>39</v>
      </c>
      <c r="J110" t="s">
        <v>25</v>
      </c>
      <c r="K110" t="s">
        <v>26</v>
      </c>
      <c r="L110" t="s">
        <v>165</v>
      </c>
      <c r="M110" t="s">
        <v>34</v>
      </c>
      <c r="N110" t="s">
        <v>1384</v>
      </c>
      <c r="O110" s="3">
        <v>43249</v>
      </c>
      <c r="Q110" t="s">
        <v>28</v>
      </c>
      <c r="T110" t="s">
        <v>407</v>
      </c>
      <c r="U110" t="s">
        <v>408</v>
      </c>
      <c r="V110" t="str">
        <f>_xlfn.XLOOKUP(U110, Mapping!$A$2:$A$48, Mapping!$B$2:$B$48, "Unknown County")</f>
        <v>Central</v>
      </c>
    </row>
    <row r="111" spans="1:22" x14ac:dyDescent="0.3">
      <c r="A111" t="s">
        <v>409</v>
      </c>
      <c r="B111" t="s">
        <v>135</v>
      </c>
      <c r="D111" t="s">
        <v>22</v>
      </c>
      <c r="E111" t="s">
        <v>410</v>
      </c>
      <c r="F111" s="7"/>
      <c r="H111" t="s">
        <v>411</v>
      </c>
      <c r="I111" t="s">
        <v>28</v>
      </c>
      <c r="J111" t="s">
        <v>25</v>
      </c>
      <c r="K111" t="s">
        <v>71</v>
      </c>
      <c r="L111" t="s">
        <v>72</v>
      </c>
      <c r="M111" t="s">
        <v>28</v>
      </c>
      <c r="N111" t="s">
        <v>28</v>
      </c>
      <c r="O111" s="3"/>
      <c r="P111" s="3">
        <v>44146</v>
      </c>
      <c r="Q111" t="s">
        <v>41</v>
      </c>
      <c r="S111" s="7">
        <v>2315</v>
      </c>
      <c r="T111" t="s">
        <v>412</v>
      </c>
      <c r="U111" t="s">
        <v>408</v>
      </c>
      <c r="V111" t="str">
        <f>_xlfn.XLOOKUP(U111, Mapping!$A$2:$A$48, Mapping!$B$2:$B$48, "Unknown County")</f>
        <v>Central</v>
      </c>
    </row>
    <row r="112" spans="1:22" x14ac:dyDescent="0.3">
      <c r="A112" t="s">
        <v>413</v>
      </c>
      <c r="B112" t="s">
        <v>143</v>
      </c>
      <c r="C112" s="3">
        <v>42526</v>
      </c>
      <c r="D112" t="s">
        <v>22</v>
      </c>
      <c r="E112" t="s">
        <v>414</v>
      </c>
      <c r="F112" s="7"/>
      <c r="H112" t="s">
        <v>415</v>
      </c>
      <c r="I112" t="s">
        <v>94</v>
      </c>
      <c r="J112" t="s">
        <v>172</v>
      </c>
      <c r="K112" t="s">
        <v>71</v>
      </c>
      <c r="L112" t="s">
        <v>46</v>
      </c>
      <c r="M112" t="s">
        <v>28</v>
      </c>
      <c r="N112" t="s">
        <v>28</v>
      </c>
      <c r="O112" s="3"/>
      <c r="Q112" t="s">
        <v>28</v>
      </c>
      <c r="T112" t="s">
        <v>416</v>
      </c>
      <c r="U112" t="s">
        <v>408</v>
      </c>
      <c r="V112" t="str">
        <f>_xlfn.XLOOKUP(U112, Mapping!$A$2:$A$48, Mapping!$B$2:$B$48, "Unknown County")</f>
        <v>Central</v>
      </c>
    </row>
    <row r="113" spans="1:22" x14ac:dyDescent="0.3">
      <c r="A113" t="s">
        <v>192</v>
      </c>
      <c r="B113" t="s">
        <v>58</v>
      </c>
      <c r="C113" s="3">
        <v>42793</v>
      </c>
      <c r="D113" t="s">
        <v>22</v>
      </c>
      <c r="E113" t="s">
        <v>417</v>
      </c>
      <c r="F113" s="7"/>
      <c r="H113" t="s">
        <v>418</v>
      </c>
      <c r="I113" t="s">
        <v>70</v>
      </c>
      <c r="J113" t="s">
        <v>25</v>
      </c>
      <c r="K113" t="s">
        <v>302</v>
      </c>
      <c r="L113" t="s">
        <v>139</v>
      </c>
      <c r="M113" t="s">
        <v>34</v>
      </c>
      <c r="N113" t="s">
        <v>35</v>
      </c>
      <c r="O113" s="3"/>
      <c r="Q113" t="s">
        <v>28</v>
      </c>
      <c r="T113" t="s">
        <v>419</v>
      </c>
      <c r="U113" t="s">
        <v>408</v>
      </c>
      <c r="V113" t="str">
        <f>_xlfn.XLOOKUP(U113, Mapping!$A$2:$A$48, Mapping!$B$2:$B$48, "Unknown County")</f>
        <v>Central</v>
      </c>
    </row>
    <row r="114" spans="1:22" x14ac:dyDescent="0.3">
      <c r="A114" t="s">
        <v>420</v>
      </c>
      <c r="B114" t="s">
        <v>256</v>
      </c>
      <c r="C114" s="3">
        <v>42835</v>
      </c>
      <c r="D114" t="s">
        <v>22</v>
      </c>
      <c r="E114" t="s">
        <v>421</v>
      </c>
      <c r="F114" s="7"/>
      <c r="H114" t="s">
        <v>422</v>
      </c>
      <c r="I114" t="s">
        <v>70</v>
      </c>
      <c r="J114" t="s">
        <v>25</v>
      </c>
      <c r="K114" t="s">
        <v>26</v>
      </c>
      <c r="L114" t="s">
        <v>33</v>
      </c>
      <c r="M114" t="s">
        <v>373</v>
      </c>
      <c r="N114" t="s">
        <v>174</v>
      </c>
      <c r="O114" s="3"/>
      <c r="Q114" t="s">
        <v>28</v>
      </c>
      <c r="T114" t="s">
        <v>423</v>
      </c>
      <c r="U114" t="s">
        <v>408</v>
      </c>
      <c r="V114" t="str">
        <f>_xlfn.XLOOKUP(U114, Mapping!$A$2:$A$48, Mapping!$B$2:$B$48, "Unknown County")</f>
        <v>Central</v>
      </c>
    </row>
    <row r="115" spans="1:22" x14ac:dyDescent="0.3">
      <c r="A115" t="s">
        <v>424</v>
      </c>
      <c r="B115" t="s">
        <v>58</v>
      </c>
      <c r="C115" s="3">
        <v>42996</v>
      </c>
      <c r="D115" t="s">
        <v>22</v>
      </c>
      <c r="E115" t="s">
        <v>425</v>
      </c>
      <c r="F115" s="7">
        <v>21</v>
      </c>
      <c r="H115" t="s">
        <v>28</v>
      </c>
      <c r="I115" t="s">
        <v>82</v>
      </c>
      <c r="J115" t="s">
        <v>28</v>
      </c>
      <c r="K115" t="s">
        <v>26</v>
      </c>
      <c r="L115" t="s">
        <v>165</v>
      </c>
      <c r="M115" t="s">
        <v>225</v>
      </c>
      <c r="N115" t="s">
        <v>35</v>
      </c>
      <c r="O115" s="3"/>
      <c r="Q115" t="s">
        <v>28</v>
      </c>
      <c r="T115" t="s">
        <v>426</v>
      </c>
      <c r="U115" t="s">
        <v>408</v>
      </c>
      <c r="V115" t="str">
        <f>_xlfn.XLOOKUP(U115, Mapping!$A$2:$A$48, Mapping!$B$2:$B$48, "Unknown County")</f>
        <v>Central</v>
      </c>
    </row>
    <row r="116" spans="1:22" x14ac:dyDescent="0.3">
      <c r="A116" t="s">
        <v>427</v>
      </c>
      <c r="B116" t="s">
        <v>256</v>
      </c>
      <c r="C116" s="3">
        <v>43044</v>
      </c>
      <c r="D116" t="s">
        <v>22</v>
      </c>
      <c r="E116" t="s">
        <v>28</v>
      </c>
      <c r="F116" s="7">
        <v>65</v>
      </c>
      <c r="H116" t="s">
        <v>28</v>
      </c>
      <c r="I116" t="s">
        <v>82</v>
      </c>
      <c r="J116" t="s">
        <v>172</v>
      </c>
      <c r="K116" t="s">
        <v>84</v>
      </c>
      <c r="L116" t="s">
        <v>258</v>
      </c>
      <c r="M116" t="s">
        <v>28</v>
      </c>
      <c r="N116" t="s">
        <v>174</v>
      </c>
      <c r="O116" s="3"/>
      <c r="Q116" t="s">
        <v>28</v>
      </c>
      <c r="T116" t="s">
        <v>428</v>
      </c>
      <c r="U116" t="s">
        <v>408</v>
      </c>
      <c r="V116" t="str">
        <f>_xlfn.XLOOKUP(U116, Mapping!$A$2:$A$48, Mapping!$B$2:$B$48, "Unknown County")</f>
        <v>Central</v>
      </c>
    </row>
    <row r="117" spans="1:22" x14ac:dyDescent="0.3">
      <c r="A117" t="s">
        <v>429</v>
      </c>
      <c r="B117" t="s">
        <v>171</v>
      </c>
      <c r="C117" s="3">
        <v>43116</v>
      </c>
      <c r="D117" t="s">
        <v>22</v>
      </c>
      <c r="E117" t="s">
        <v>430</v>
      </c>
      <c r="F117" s="7"/>
      <c r="H117" t="s">
        <v>431</v>
      </c>
      <c r="I117" t="s">
        <v>39</v>
      </c>
      <c r="J117" t="s">
        <v>25</v>
      </c>
      <c r="K117" t="s">
        <v>26</v>
      </c>
      <c r="L117" t="s">
        <v>85</v>
      </c>
      <c r="M117" t="s">
        <v>34</v>
      </c>
      <c r="N117" t="s">
        <v>432</v>
      </c>
      <c r="O117" s="3"/>
      <c r="Q117" t="s">
        <v>28</v>
      </c>
      <c r="T117" t="s">
        <v>433</v>
      </c>
      <c r="U117" t="s">
        <v>408</v>
      </c>
      <c r="V117" t="str">
        <f>_xlfn.XLOOKUP(U117, Mapping!$A$2:$A$48, Mapping!$B$2:$B$48, "Unknown County")</f>
        <v>Central</v>
      </c>
    </row>
    <row r="118" spans="1:22" x14ac:dyDescent="0.3">
      <c r="A118" t="s">
        <v>434</v>
      </c>
      <c r="B118" t="s">
        <v>63</v>
      </c>
      <c r="C118" s="3">
        <v>43126</v>
      </c>
      <c r="D118" t="s">
        <v>22</v>
      </c>
      <c r="E118" t="s">
        <v>435</v>
      </c>
      <c r="F118" s="7">
        <v>24</v>
      </c>
      <c r="H118" t="s">
        <v>436</v>
      </c>
      <c r="I118" t="s">
        <v>39</v>
      </c>
      <c r="J118" t="s">
        <v>25</v>
      </c>
      <c r="K118" t="s">
        <v>84</v>
      </c>
      <c r="L118" t="s">
        <v>27</v>
      </c>
      <c r="M118" t="s">
        <v>34</v>
      </c>
      <c r="N118" t="s">
        <v>28</v>
      </c>
      <c r="O118" s="3">
        <v>43129</v>
      </c>
      <c r="Q118" t="s">
        <v>28</v>
      </c>
      <c r="T118" t="s">
        <v>437</v>
      </c>
      <c r="U118" t="s">
        <v>408</v>
      </c>
      <c r="V118" t="str">
        <f>_xlfn.XLOOKUP(U118, Mapping!$A$2:$A$48, Mapping!$B$2:$B$48, "Unknown County")</f>
        <v>Central</v>
      </c>
    </row>
    <row r="119" spans="1:22" x14ac:dyDescent="0.3">
      <c r="A119" t="s">
        <v>438</v>
      </c>
      <c r="B119" t="s">
        <v>63</v>
      </c>
      <c r="C119" s="3">
        <v>43129</v>
      </c>
      <c r="D119" t="s">
        <v>22</v>
      </c>
      <c r="E119" t="s">
        <v>439</v>
      </c>
      <c r="F119" s="7">
        <v>27</v>
      </c>
      <c r="H119" t="s">
        <v>440</v>
      </c>
      <c r="I119" t="s">
        <v>39</v>
      </c>
      <c r="J119" t="s">
        <v>25</v>
      </c>
      <c r="K119" t="s">
        <v>26</v>
      </c>
      <c r="L119" t="s">
        <v>165</v>
      </c>
      <c r="M119" t="s">
        <v>34</v>
      </c>
      <c r="N119" t="s">
        <v>35</v>
      </c>
      <c r="O119" s="3"/>
      <c r="Q119" t="s">
        <v>28</v>
      </c>
      <c r="T119" t="s">
        <v>441</v>
      </c>
      <c r="U119" t="s">
        <v>408</v>
      </c>
      <c r="V119" t="str">
        <f>_xlfn.XLOOKUP(U119, Mapping!$A$2:$A$48, Mapping!$B$2:$B$48, "Unknown County")</f>
        <v>Central</v>
      </c>
    </row>
    <row r="120" spans="1:22" x14ac:dyDescent="0.3">
      <c r="A120" t="s">
        <v>427</v>
      </c>
      <c r="B120" t="s">
        <v>58</v>
      </c>
      <c r="C120" s="3">
        <v>43138</v>
      </c>
      <c r="D120" t="s">
        <v>22</v>
      </c>
      <c r="E120" t="s">
        <v>28</v>
      </c>
      <c r="F120" s="7">
        <v>65</v>
      </c>
      <c r="H120" t="s">
        <v>28</v>
      </c>
      <c r="I120" t="s">
        <v>82</v>
      </c>
      <c r="J120" t="s">
        <v>28</v>
      </c>
      <c r="K120" t="s">
        <v>84</v>
      </c>
      <c r="L120" t="s">
        <v>173</v>
      </c>
      <c r="M120" t="s">
        <v>28</v>
      </c>
      <c r="N120" t="s">
        <v>35</v>
      </c>
      <c r="O120" s="3"/>
      <c r="Q120" t="s">
        <v>28</v>
      </c>
      <c r="T120" t="s">
        <v>428</v>
      </c>
      <c r="U120" t="s">
        <v>408</v>
      </c>
      <c r="V120" t="str">
        <f>_xlfn.XLOOKUP(U120, Mapping!$A$2:$A$48, Mapping!$B$2:$B$48, "Unknown County")</f>
        <v>Central</v>
      </c>
    </row>
    <row r="121" spans="1:22" x14ac:dyDescent="0.3">
      <c r="A121" t="s">
        <v>442</v>
      </c>
      <c r="B121" t="s">
        <v>21</v>
      </c>
      <c r="C121" s="3">
        <v>43151</v>
      </c>
      <c r="D121" t="s">
        <v>22</v>
      </c>
      <c r="E121" t="s">
        <v>443</v>
      </c>
      <c r="F121" s="7">
        <v>76</v>
      </c>
      <c r="H121" t="s">
        <v>444</v>
      </c>
      <c r="I121" t="s">
        <v>186</v>
      </c>
      <c r="J121" t="s">
        <v>83</v>
      </c>
      <c r="K121" t="s">
        <v>26</v>
      </c>
      <c r="L121" t="s">
        <v>165</v>
      </c>
      <c r="M121" t="s">
        <v>28</v>
      </c>
      <c r="N121" t="s">
        <v>35</v>
      </c>
      <c r="O121" s="3"/>
      <c r="Q121" t="s">
        <v>28</v>
      </c>
      <c r="T121" t="s">
        <v>445</v>
      </c>
      <c r="U121" t="s">
        <v>408</v>
      </c>
      <c r="V121" t="str">
        <f>_xlfn.XLOOKUP(U121, Mapping!$A$2:$A$48, Mapping!$B$2:$B$48, "Unknown County")</f>
        <v>Central</v>
      </c>
    </row>
    <row r="122" spans="1:22" x14ac:dyDescent="0.3">
      <c r="A122" t="s">
        <v>446</v>
      </c>
      <c r="B122" t="s">
        <v>21</v>
      </c>
      <c r="C122" s="3">
        <v>43494</v>
      </c>
      <c r="D122" t="s">
        <v>22</v>
      </c>
      <c r="E122" t="s">
        <v>447</v>
      </c>
      <c r="F122" s="7">
        <v>39</v>
      </c>
      <c r="H122" t="s">
        <v>448</v>
      </c>
      <c r="I122" t="s">
        <v>186</v>
      </c>
      <c r="J122" t="s">
        <v>83</v>
      </c>
      <c r="K122" t="s">
        <v>26</v>
      </c>
      <c r="L122" t="s">
        <v>40</v>
      </c>
      <c r="M122" t="s">
        <v>60</v>
      </c>
      <c r="N122" t="s">
        <v>28</v>
      </c>
      <c r="O122" s="3">
        <v>43494</v>
      </c>
      <c r="Q122" t="s">
        <v>28</v>
      </c>
      <c r="T122" t="s">
        <v>449</v>
      </c>
      <c r="U122" t="s">
        <v>408</v>
      </c>
      <c r="V122" t="str">
        <f>_xlfn.XLOOKUP(U122, Mapping!$A$2:$A$48, Mapping!$B$2:$B$48, "Unknown County")</f>
        <v>Central</v>
      </c>
    </row>
    <row r="123" spans="1:22" x14ac:dyDescent="0.3">
      <c r="A123" t="s">
        <v>446</v>
      </c>
      <c r="B123" t="s">
        <v>21</v>
      </c>
      <c r="C123" s="3">
        <v>43521</v>
      </c>
      <c r="D123" t="s">
        <v>22</v>
      </c>
      <c r="E123" t="s">
        <v>450</v>
      </c>
      <c r="F123" s="7">
        <v>95</v>
      </c>
      <c r="H123" t="s">
        <v>28</v>
      </c>
      <c r="I123" t="s">
        <v>82</v>
      </c>
      <c r="J123" t="s">
        <v>83</v>
      </c>
      <c r="K123" t="s">
        <v>84</v>
      </c>
      <c r="L123" t="s">
        <v>27</v>
      </c>
      <c r="M123" t="s">
        <v>28</v>
      </c>
      <c r="N123" t="s">
        <v>35</v>
      </c>
      <c r="O123" s="3"/>
      <c r="Q123" t="s">
        <v>28</v>
      </c>
      <c r="T123" t="s">
        <v>451</v>
      </c>
      <c r="U123" t="s">
        <v>408</v>
      </c>
      <c r="V123" t="str">
        <f>_xlfn.XLOOKUP(U123, Mapping!$A$2:$A$48, Mapping!$B$2:$B$48, "Unknown County")</f>
        <v>Central</v>
      </c>
    </row>
    <row r="124" spans="1:22" x14ac:dyDescent="0.3">
      <c r="A124" t="s">
        <v>28</v>
      </c>
      <c r="B124" t="s">
        <v>452</v>
      </c>
      <c r="D124" t="s">
        <v>22</v>
      </c>
      <c r="E124" t="s">
        <v>453</v>
      </c>
      <c r="F124" s="7"/>
      <c r="H124" t="s">
        <v>28</v>
      </c>
      <c r="I124" t="s">
        <v>39</v>
      </c>
      <c r="J124" t="s">
        <v>28</v>
      </c>
      <c r="K124" t="s">
        <v>28</v>
      </c>
      <c r="L124" t="s">
        <v>46</v>
      </c>
      <c r="M124" t="s">
        <v>28</v>
      </c>
      <c r="N124" t="s">
        <v>28</v>
      </c>
      <c r="O124" s="3"/>
      <c r="Q124" t="s">
        <v>28</v>
      </c>
      <c r="T124" t="s">
        <v>454</v>
      </c>
      <c r="U124" t="s">
        <v>408</v>
      </c>
      <c r="V124" t="str">
        <f>_xlfn.XLOOKUP(U124, Mapping!$A$2:$A$48, Mapping!$B$2:$B$48, "Unknown County")</f>
        <v>Central</v>
      </c>
    </row>
    <row r="125" spans="1:22" x14ac:dyDescent="0.3">
      <c r="A125" t="s">
        <v>455</v>
      </c>
      <c r="B125" t="s">
        <v>63</v>
      </c>
      <c r="C125" s="3">
        <v>43612</v>
      </c>
      <c r="D125" t="s">
        <v>22</v>
      </c>
      <c r="E125" t="s">
        <v>235</v>
      </c>
      <c r="F125" s="7"/>
      <c r="G125" s="3">
        <v>43606</v>
      </c>
      <c r="H125" t="s">
        <v>456</v>
      </c>
      <c r="I125" t="s">
        <v>39</v>
      </c>
      <c r="J125" t="s">
        <v>25</v>
      </c>
      <c r="K125" t="s">
        <v>26</v>
      </c>
      <c r="L125" t="s">
        <v>40</v>
      </c>
      <c r="M125" t="s">
        <v>34</v>
      </c>
      <c r="N125" t="s">
        <v>140</v>
      </c>
      <c r="O125" s="3"/>
      <c r="Q125" t="s">
        <v>28</v>
      </c>
      <c r="T125" t="s">
        <v>457</v>
      </c>
      <c r="U125" t="s">
        <v>408</v>
      </c>
      <c r="V125" t="str">
        <f>_xlfn.XLOOKUP(U125, Mapping!$A$2:$A$48, Mapping!$B$2:$B$48, "Unknown County")</f>
        <v>Central</v>
      </c>
    </row>
    <row r="126" spans="1:22" x14ac:dyDescent="0.3">
      <c r="A126" t="s">
        <v>442</v>
      </c>
      <c r="B126" t="s">
        <v>21</v>
      </c>
      <c r="C126" s="3">
        <v>44041</v>
      </c>
      <c r="D126" t="s">
        <v>22</v>
      </c>
      <c r="E126" t="s">
        <v>458</v>
      </c>
      <c r="F126" s="7">
        <v>18</v>
      </c>
      <c r="H126" t="s">
        <v>28</v>
      </c>
      <c r="I126" t="s">
        <v>82</v>
      </c>
      <c r="J126" t="s">
        <v>83</v>
      </c>
      <c r="K126" t="s">
        <v>84</v>
      </c>
      <c r="L126" t="s">
        <v>59</v>
      </c>
      <c r="M126" t="s">
        <v>28</v>
      </c>
      <c r="N126" t="s">
        <v>35</v>
      </c>
      <c r="O126" s="3"/>
      <c r="Q126" t="s">
        <v>28</v>
      </c>
      <c r="T126" t="s">
        <v>459</v>
      </c>
      <c r="U126" t="s">
        <v>408</v>
      </c>
      <c r="V126" t="str">
        <f>_xlfn.XLOOKUP(U126, Mapping!$A$2:$A$48, Mapping!$B$2:$B$48, "Unknown County")</f>
        <v>Central</v>
      </c>
    </row>
    <row r="127" spans="1:22" x14ac:dyDescent="0.3">
      <c r="A127" t="s">
        <v>460</v>
      </c>
      <c r="B127" t="s">
        <v>21</v>
      </c>
      <c r="C127" s="3">
        <v>44124</v>
      </c>
      <c r="D127" t="s">
        <v>22</v>
      </c>
      <c r="E127" t="s">
        <v>28</v>
      </c>
      <c r="F127" s="7"/>
      <c r="H127" t="s">
        <v>461</v>
      </c>
      <c r="I127" t="s">
        <v>82</v>
      </c>
      <c r="J127" t="s">
        <v>83</v>
      </c>
      <c r="K127" t="s">
        <v>26</v>
      </c>
      <c r="L127" t="s">
        <v>165</v>
      </c>
      <c r="M127" t="s">
        <v>28</v>
      </c>
      <c r="N127" t="s">
        <v>35</v>
      </c>
      <c r="O127" s="3"/>
      <c r="Q127" t="s">
        <v>28</v>
      </c>
      <c r="T127" t="s">
        <v>462</v>
      </c>
      <c r="U127" t="s">
        <v>408</v>
      </c>
      <c r="V127" t="str">
        <f>_xlfn.XLOOKUP(U127, Mapping!$A$2:$A$48, Mapping!$B$2:$B$48, "Unknown County")</f>
        <v>Central</v>
      </c>
    </row>
    <row r="128" spans="1:22" x14ac:dyDescent="0.3">
      <c r="A128" t="s">
        <v>463</v>
      </c>
      <c r="B128" t="s">
        <v>21</v>
      </c>
      <c r="C128" s="3">
        <v>44203</v>
      </c>
      <c r="D128" t="s">
        <v>22</v>
      </c>
      <c r="E128" t="s">
        <v>28</v>
      </c>
      <c r="F128" s="7"/>
      <c r="H128" t="s">
        <v>28</v>
      </c>
      <c r="I128" t="s">
        <v>82</v>
      </c>
      <c r="J128" t="s">
        <v>83</v>
      </c>
      <c r="K128" t="s">
        <v>84</v>
      </c>
      <c r="L128" t="s">
        <v>27</v>
      </c>
      <c r="M128" t="s">
        <v>28</v>
      </c>
      <c r="N128" t="s">
        <v>35</v>
      </c>
      <c r="O128" s="3"/>
      <c r="Q128" t="s">
        <v>28</v>
      </c>
      <c r="T128" t="s">
        <v>464</v>
      </c>
      <c r="U128" t="s">
        <v>408</v>
      </c>
      <c r="V128" t="str">
        <f>_xlfn.XLOOKUP(U128, Mapping!$A$2:$A$48, Mapping!$B$2:$B$48, "Unknown County")</f>
        <v>Central</v>
      </c>
    </row>
    <row r="129" spans="1:22" x14ac:dyDescent="0.3">
      <c r="A129" t="s">
        <v>442</v>
      </c>
      <c r="B129" t="s">
        <v>21</v>
      </c>
      <c r="C129" s="3">
        <v>44231</v>
      </c>
      <c r="D129" t="s">
        <v>22</v>
      </c>
      <c r="E129" t="s">
        <v>28</v>
      </c>
      <c r="F129" s="7">
        <v>45</v>
      </c>
      <c r="H129" t="s">
        <v>28</v>
      </c>
      <c r="I129" t="s">
        <v>70</v>
      </c>
      <c r="J129" t="s">
        <v>25</v>
      </c>
      <c r="K129" t="s">
        <v>26</v>
      </c>
      <c r="L129" t="s">
        <v>59</v>
      </c>
      <c r="M129" t="s">
        <v>34</v>
      </c>
      <c r="N129" t="s">
        <v>35</v>
      </c>
      <c r="O129" s="3"/>
      <c r="Q129" t="s">
        <v>28</v>
      </c>
      <c r="T129" t="s">
        <v>465</v>
      </c>
      <c r="U129" t="s">
        <v>408</v>
      </c>
      <c r="V129" t="str">
        <f>_xlfn.XLOOKUP(U129, Mapping!$A$2:$A$48, Mapping!$B$2:$B$48, "Unknown County")</f>
        <v>Central</v>
      </c>
    </row>
    <row r="130" spans="1:22" x14ac:dyDescent="0.3">
      <c r="A130" t="s">
        <v>463</v>
      </c>
      <c r="B130" t="s">
        <v>21</v>
      </c>
      <c r="C130" s="3">
        <v>44286</v>
      </c>
      <c r="D130" t="s">
        <v>22</v>
      </c>
      <c r="E130" t="s">
        <v>466</v>
      </c>
      <c r="F130" s="7">
        <v>24</v>
      </c>
      <c r="H130" t="s">
        <v>467</v>
      </c>
      <c r="I130" t="s">
        <v>70</v>
      </c>
      <c r="J130" t="s">
        <v>25</v>
      </c>
      <c r="K130" t="s">
        <v>26</v>
      </c>
      <c r="L130" t="s">
        <v>59</v>
      </c>
      <c r="M130" t="s">
        <v>60</v>
      </c>
      <c r="N130" t="s">
        <v>140</v>
      </c>
      <c r="O130" s="3"/>
      <c r="Q130" t="s">
        <v>28</v>
      </c>
      <c r="T130" t="s">
        <v>468</v>
      </c>
      <c r="U130" t="s">
        <v>408</v>
      </c>
      <c r="V130" t="str">
        <f>_xlfn.XLOOKUP(U130, Mapping!$A$2:$A$48, Mapping!$B$2:$B$48, "Unknown County")</f>
        <v>Central</v>
      </c>
    </row>
    <row r="131" spans="1:22" x14ac:dyDescent="0.3">
      <c r="A131" t="s">
        <v>192</v>
      </c>
      <c r="B131" t="s">
        <v>21</v>
      </c>
      <c r="C131" s="3">
        <v>44293</v>
      </c>
      <c r="D131" t="s">
        <v>22</v>
      </c>
      <c r="E131" t="s">
        <v>469</v>
      </c>
      <c r="F131" s="7">
        <v>29</v>
      </c>
      <c r="H131" t="s">
        <v>470</v>
      </c>
      <c r="I131" t="s">
        <v>39</v>
      </c>
      <c r="J131" t="s">
        <v>25</v>
      </c>
      <c r="K131" t="s">
        <v>26</v>
      </c>
      <c r="L131" t="s">
        <v>139</v>
      </c>
      <c r="M131" t="s">
        <v>34</v>
      </c>
      <c r="N131" t="s">
        <v>140</v>
      </c>
      <c r="O131" s="3"/>
      <c r="Q131" t="s">
        <v>28</v>
      </c>
      <c r="T131" t="s">
        <v>471</v>
      </c>
      <c r="U131" t="s">
        <v>408</v>
      </c>
      <c r="V131" t="str">
        <f>_xlfn.XLOOKUP(U131, Mapping!$A$2:$A$48, Mapping!$B$2:$B$48, "Unknown County")</f>
        <v>Central</v>
      </c>
    </row>
    <row r="132" spans="1:22" x14ac:dyDescent="0.3">
      <c r="A132" t="s">
        <v>472</v>
      </c>
      <c r="B132" t="s">
        <v>21</v>
      </c>
      <c r="C132" s="3">
        <v>44303</v>
      </c>
      <c r="D132" t="s">
        <v>22</v>
      </c>
      <c r="E132" t="s">
        <v>473</v>
      </c>
      <c r="F132" s="7">
        <v>25</v>
      </c>
      <c r="H132" t="s">
        <v>474</v>
      </c>
      <c r="I132" t="s">
        <v>70</v>
      </c>
      <c r="J132" t="s">
        <v>25</v>
      </c>
      <c r="K132" t="s">
        <v>84</v>
      </c>
      <c r="L132" t="s">
        <v>72</v>
      </c>
      <c r="M132" t="s">
        <v>34</v>
      </c>
      <c r="N132" t="s">
        <v>1384</v>
      </c>
      <c r="O132" s="3">
        <v>44305</v>
      </c>
      <c r="Q132" t="s">
        <v>28</v>
      </c>
      <c r="T132" t="s">
        <v>475</v>
      </c>
      <c r="U132" t="s">
        <v>408</v>
      </c>
      <c r="V132" t="str">
        <f>_xlfn.XLOOKUP(U132, Mapping!$A$2:$A$48, Mapping!$B$2:$B$48, "Unknown County")</f>
        <v>Central</v>
      </c>
    </row>
    <row r="133" spans="1:22" x14ac:dyDescent="0.3">
      <c r="A133" t="s">
        <v>442</v>
      </c>
      <c r="B133" t="s">
        <v>21</v>
      </c>
      <c r="C133" s="3">
        <v>44357</v>
      </c>
      <c r="D133" t="s">
        <v>22</v>
      </c>
      <c r="E133" t="s">
        <v>476</v>
      </c>
      <c r="F133" s="7">
        <v>81</v>
      </c>
      <c r="H133" t="s">
        <v>28</v>
      </c>
      <c r="I133" t="s">
        <v>186</v>
      </c>
      <c r="J133" t="s">
        <v>83</v>
      </c>
      <c r="K133" t="s">
        <v>84</v>
      </c>
      <c r="L133" t="s">
        <v>165</v>
      </c>
      <c r="M133" t="s">
        <v>28</v>
      </c>
      <c r="N133" t="s">
        <v>35</v>
      </c>
      <c r="O133" s="3"/>
      <c r="Q133" t="s">
        <v>28</v>
      </c>
      <c r="T133" t="s">
        <v>477</v>
      </c>
      <c r="U133" t="s">
        <v>408</v>
      </c>
      <c r="V133" t="str">
        <f>_xlfn.XLOOKUP(U133, Mapping!$A$2:$A$48, Mapping!$B$2:$B$48, "Unknown County")</f>
        <v>Central</v>
      </c>
    </row>
    <row r="134" spans="1:22" x14ac:dyDescent="0.3">
      <c r="A134" t="s">
        <v>478</v>
      </c>
      <c r="B134" t="s">
        <v>339</v>
      </c>
      <c r="C134" s="3">
        <v>44363</v>
      </c>
      <c r="D134" t="s">
        <v>22</v>
      </c>
      <c r="E134" t="s">
        <v>479</v>
      </c>
      <c r="F134" s="7">
        <v>19</v>
      </c>
      <c r="H134" t="s">
        <v>28</v>
      </c>
      <c r="I134" t="s">
        <v>1585</v>
      </c>
      <c r="J134" t="s">
        <v>28</v>
      </c>
      <c r="K134" t="s">
        <v>480</v>
      </c>
      <c r="L134" t="s">
        <v>59</v>
      </c>
      <c r="M134" t="s">
        <v>28</v>
      </c>
      <c r="N134" t="s">
        <v>28</v>
      </c>
      <c r="O134" s="3"/>
      <c r="Q134" t="s">
        <v>28</v>
      </c>
      <c r="T134" t="s">
        <v>481</v>
      </c>
      <c r="U134" t="s">
        <v>408</v>
      </c>
      <c r="V134" t="str">
        <f>_xlfn.XLOOKUP(U134, Mapping!$A$2:$A$48, Mapping!$B$2:$B$48, "Unknown County")</f>
        <v>Central</v>
      </c>
    </row>
    <row r="135" spans="1:22" x14ac:dyDescent="0.3">
      <c r="A135" t="s">
        <v>482</v>
      </c>
      <c r="B135" t="s">
        <v>58</v>
      </c>
      <c r="C135" s="3">
        <v>44411</v>
      </c>
      <c r="D135" t="s">
        <v>22</v>
      </c>
      <c r="E135" t="s">
        <v>483</v>
      </c>
      <c r="F135" s="7">
        <v>30</v>
      </c>
      <c r="H135" t="s">
        <v>484</v>
      </c>
      <c r="I135" t="s">
        <v>39</v>
      </c>
      <c r="J135" t="s">
        <v>25</v>
      </c>
      <c r="K135" t="s">
        <v>26</v>
      </c>
      <c r="L135" t="s">
        <v>139</v>
      </c>
      <c r="M135" t="s">
        <v>34</v>
      </c>
      <c r="N135" t="s">
        <v>140</v>
      </c>
      <c r="O135" s="3"/>
      <c r="Q135" t="s">
        <v>28</v>
      </c>
      <c r="T135" t="s">
        <v>485</v>
      </c>
      <c r="U135" t="s">
        <v>408</v>
      </c>
      <c r="V135" t="str">
        <f>_xlfn.XLOOKUP(U135, Mapping!$A$2:$A$48, Mapping!$B$2:$B$48, "Unknown County")</f>
        <v>Central</v>
      </c>
    </row>
    <row r="136" spans="1:22" x14ac:dyDescent="0.3">
      <c r="A136" t="s">
        <v>482</v>
      </c>
      <c r="B136" t="s">
        <v>58</v>
      </c>
      <c r="C136" s="3">
        <v>44433</v>
      </c>
      <c r="D136" t="s">
        <v>22</v>
      </c>
      <c r="E136" t="s">
        <v>486</v>
      </c>
      <c r="F136" s="7">
        <v>34</v>
      </c>
      <c r="H136" t="s">
        <v>487</v>
      </c>
      <c r="I136" t="s">
        <v>1584</v>
      </c>
      <c r="J136" t="s">
        <v>25</v>
      </c>
      <c r="K136" t="s">
        <v>26</v>
      </c>
      <c r="L136" t="s">
        <v>59</v>
      </c>
      <c r="M136" t="s">
        <v>225</v>
      </c>
      <c r="N136" t="s">
        <v>1384</v>
      </c>
      <c r="O136" s="3">
        <v>44447</v>
      </c>
      <c r="Q136" t="s">
        <v>28</v>
      </c>
      <c r="T136" t="s">
        <v>488</v>
      </c>
      <c r="U136" t="s">
        <v>408</v>
      </c>
      <c r="V136" t="str">
        <f>_xlfn.XLOOKUP(U136, Mapping!$A$2:$A$48, Mapping!$B$2:$B$48, "Unknown County")</f>
        <v>Central</v>
      </c>
    </row>
    <row r="137" spans="1:22" x14ac:dyDescent="0.3">
      <c r="A137" t="s">
        <v>166</v>
      </c>
      <c r="B137" t="s">
        <v>31</v>
      </c>
      <c r="C137" s="3">
        <v>44567</v>
      </c>
      <c r="D137" t="s">
        <v>22</v>
      </c>
      <c r="E137" t="s">
        <v>489</v>
      </c>
      <c r="F137" s="7">
        <v>24</v>
      </c>
      <c r="H137" t="s">
        <v>490</v>
      </c>
      <c r="I137" t="s">
        <v>1585</v>
      </c>
      <c r="J137" t="s">
        <v>28</v>
      </c>
      <c r="K137" t="s">
        <v>71</v>
      </c>
      <c r="L137" t="s">
        <v>46</v>
      </c>
      <c r="M137" t="s">
        <v>28</v>
      </c>
      <c r="N137" t="s">
        <v>28</v>
      </c>
      <c r="O137" s="3"/>
      <c r="Q137" t="s">
        <v>28</v>
      </c>
      <c r="T137" t="s">
        <v>454</v>
      </c>
      <c r="U137" t="s">
        <v>408</v>
      </c>
      <c r="V137" t="str">
        <f>_xlfn.XLOOKUP(U137, Mapping!$A$2:$A$48, Mapping!$B$2:$B$48, "Unknown County")</f>
        <v>Central</v>
      </c>
    </row>
    <row r="138" spans="1:22" x14ac:dyDescent="0.3">
      <c r="A138" t="s">
        <v>482</v>
      </c>
      <c r="B138" t="s">
        <v>58</v>
      </c>
      <c r="C138" s="3">
        <v>44579</v>
      </c>
      <c r="D138" t="s">
        <v>22</v>
      </c>
      <c r="E138" t="s">
        <v>491</v>
      </c>
      <c r="F138" s="7">
        <v>18</v>
      </c>
      <c r="H138" t="s">
        <v>28</v>
      </c>
      <c r="I138" t="s">
        <v>82</v>
      </c>
      <c r="J138" t="s">
        <v>28</v>
      </c>
      <c r="K138" t="s">
        <v>84</v>
      </c>
      <c r="L138" t="s">
        <v>165</v>
      </c>
      <c r="M138" t="s">
        <v>60</v>
      </c>
      <c r="N138" t="s">
        <v>35</v>
      </c>
      <c r="O138" s="3"/>
      <c r="Q138" t="s">
        <v>28</v>
      </c>
      <c r="T138" t="s">
        <v>492</v>
      </c>
      <c r="U138" t="s">
        <v>408</v>
      </c>
      <c r="V138" t="str">
        <f>_xlfn.XLOOKUP(U138, Mapping!$A$2:$A$48, Mapping!$B$2:$B$48, "Unknown County")</f>
        <v>Central</v>
      </c>
    </row>
    <row r="139" spans="1:22" x14ac:dyDescent="0.3">
      <c r="A139" t="s">
        <v>493</v>
      </c>
      <c r="B139" t="s">
        <v>28</v>
      </c>
      <c r="C139" s="3">
        <v>44696</v>
      </c>
      <c r="D139" t="s">
        <v>22</v>
      </c>
      <c r="E139" t="s">
        <v>494</v>
      </c>
      <c r="F139" s="7">
        <v>19</v>
      </c>
      <c r="G139" s="3">
        <v>44694</v>
      </c>
      <c r="H139" t="s">
        <v>495</v>
      </c>
      <c r="I139" t="s">
        <v>70</v>
      </c>
      <c r="J139" t="s">
        <v>28</v>
      </c>
      <c r="K139" t="s">
        <v>28</v>
      </c>
      <c r="L139" t="s">
        <v>59</v>
      </c>
      <c r="M139" t="s">
        <v>28</v>
      </c>
      <c r="N139" t="s">
        <v>28</v>
      </c>
      <c r="O139" s="3"/>
      <c r="Q139" t="s">
        <v>28</v>
      </c>
      <c r="T139" t="s">
        <v>496</v>
      </c>
      <c r="U139" t="s">
        <v>408</v>
      </c>
      <c r="V139" t="str">
        <f>_xlfn.XLOOKUP(U139, Mapping!$A$2:$A$48, Mapping!$B$2:$B$48, "Unknown County")</f>
        <v>Central</v>
      </c>
    </row>
    <row r="140" spans="1:22" x14ac:dyDescent="0.3">
      <c r="A140" t="s">
        <v>442</v>
      </c>
      <c r="B140" t="s">
        <v>21</v>
      </c>
      <c r="C140" s="3">
        <v>44864</v>
      </c>
      <c r="D140" t="s">
        <v>22</v>
      </c>
      <c r="E140" t="s">
        <v>28</v>
      </c>
      <c r="F140" s="7"/>
      <c r="H140" t="s">
        <v>28</v>
      </c>
      <c r="I140" t="s">
        <v>39</v>
      </c>
      <c r="J140" t="s">
        <v>25</v>
      </c>
      <c r="K140" t="s">
        <v>26</v>
      </c>
      <c r="L140" t="s">
        <v>33</v>
      </c>
      <c r="M140" t="s">
        <v>34</v>
      </c>
      <c r="N140" t="s">
        <v>140</v>
      </c>
      <c r="O140" s="3"/>
      <c r="Q140" t="s">
        <v>28</v>
      </c>
      <c r="T140" t="s">
        <v>497</v>
      </c>
      <c r="U140" t="s">
        <v>408</v>
      </c>
      <c r="V140" t="str">
        <f>_xlfn.XLOOKUP(U140, Mapping!$A$2:$A$48, Mapping!$B$2:$B$48, "Unknown County")</f>
        <v>Central</v>
      </c>
    </row>
    <row r="141" spans="1:22" x14ac:dyDescent="0.3">
      <c r="A141" t="s">
        <v>498</v>
      </c>
      <c r="B141" t="s">
        <v>28</v>
      </c>
      <c r="C141" s="3">
        <v>44863</v>
      </c>
      <c r="D141" t="s">
        <v>22</v>
      </c>
      <c r="E141" t="s">
        <v>499</v>
      </c>
      <c r="F141" s="7"/>
      <c r="H141" t="s">
        <v>500</v>
      </c>
      <c r="I141" t="s">
        <v>39</v>
      </c>
      <c r="J141" t="s">
        <v>28</v>
      </c>
      <c r="K141" t="s">
        <v>71</v>
      </c>
      <c r="L141" t="s">
        <v>33</v>
      </c>
      <c r="M141" t="s">
        <v>28</v>
      </c>
      <c r="N141" t="s">
        <v>28</v>
      </c>
      <c r="O141" s="3"/>
      <c r="Q141" t="s">
        <v>28</v>
      </c>
      <c r="T141" t="s">
        <v>501</v>
      </c>
      <c r="U141" t="s">
        <v>408</v>
      </c>
      <c r="V141" t="str">
        <f>_xlfn.XLOOKUP(U141, Mapping!$A$2:$A$48, Mapping!$B$2:$B$48, "Unknown County")</f>
        <v>Central</v>
      </c>
    </row>
    <row r="142" spans="1:22" x14ac:dyDescent="0.3">
      <c r="A142" t="s">
        <v>502</v>
      </c>
      <c r="B142" t="s">
        <v>63</v>
      </c>
      <c r="C142" s="3">
        <v>45040</v>
      </c>
      <c r="D142" t="s">
        <v>22</v>
      </c>
      <c r="E142" t="s">
        <v>503</v>
      </c>
      <c r="F142" s="7">
        <v>27</v>
      </c>
      <c r="H142" t="s">
        <v>504</v>
      </c>
      <c r="I142" t="s">
        <v>39</v>
      </c>
      <c r="J142" t="s">
        <v>25</v>
      </c>
      <c r="K142" t="s">
        <v>71</v>
      </c>
      <c r="L142" t="s">
        <v>40</v>
      </c>
      <c r="M142" t="s">
        <v>505</v>
      </c>
      <c r="N142" t="s">
        <v>35</v>
      </c>
      <c r="O142" s="3"/>
      <c r="Q142" t="s">
        <v>28</v>
      </c>
      <c r="T142" t="s">
        <v>506</v>
      </c>
      <c r="U142" t="s">
        <v>408</v>
      </c>
      <c r="V142" t="str">
        <f>_xlfn.XLOOKUP(U142, Mapping!$A$2:$A$48, Mapping!$B$2:$B$48, "Unknown County")</f>
        <v>Central</v>
      </c>
    </row>
    <row r="143" spans="1:22" x14ac:dyDescent="0.3">
      <c r="A143" t="s">
        <v>81</v>
      </c>
      <c r="B143" t="s">
        <v>21</v>
      </c>
      <c r="C143" s="3">
        <v>45118</v>
      </c>
      <c r="D143" t="s">
        <v>22</v>
      </c>
      <c r="E143" t="s">
        <v>507</v>
      </c>
      <c r="F143" s="7">
        <v>52</v>
      </c>
      <c r="H143" t="s">
        <v>508</v>
      </c>
      <c r="I143" t="s">
        <v>82</v>
      </c>
      <c r="J143" t="s">
        <v>28</v>
      </c>
      <c r="K143" t="s">
        <v>84</v>
      </c>
      <c r="L143" t="s">
        <v>173</v>
      </c>
      <c r="M143" t="s">
        <v>28</v>
      </c>
      <c r="N143" t="s">
        <v>509</v>
      </c>
      <c r="O143" s="3"/>
      <c r="Q143" t="s">
        <v>28</v>
      </c>
      <c r="T143" t="s">
        <v>510</v>
      </c>
      <c r="U143" t="s">
        <v>408</v>
      </c>
      <c r="V143" t="str">
        <f>_xlfn.XLOOKUP(U143, Mapping!$A$2:$A$48, Mapping!$B$2:$B$48, "Unknown County")</f>
        <v>Central</v>
      </c>
    </row>
    <row r="144" spans="1:22" x14ac:dyDescent="0.3">
      <c r="A144" t="s">
        <v>511</v>
      </c>
      <c r="B144" t="s">
        <v>143</v>
      </c>
      <c r="C144" s="3">
        <v>45167</v>
      </c>
      <c r="D144" t="s">
        <v>22</v>
      </c>
      <c r="E144" t="s">
        <v>512</v>
      </c>
      <c r="F144" s="7"/>
      <c r="H144" t="s">
        <v>513</v>
      </c>
      <c r="I144" t="s">
        <v>1584</v>
      </c>
      <c r="J144" t="s">
        <v>25</v>
      </c>
      <c r="K144" t="s">
        <v>302</v>
      </c>
      <c r="L144" t="s">
        <v>59</v>
      </c>
      <c r="M144" t="s">
        <v>514</v>
      </c>
      <c r="N144" t="s">
        <v>35</v>
      </c>
      <c r="O144" s="3"/>
      <c r="Q144" t="s">
        <v>28</v>
      </c>
      <c r="T144" t="s">
        <v>515</v>
      </c>
      <c r="U144" t="s">
        <v>408</v>
      </c>
      <c r="V144" t="str">
        <f>_xlfn.XLOOKUP(U144, Mapping!$A$2:$A$48, Mapping!$B$2:$B$48, "Unknown County")</f>
        <v>Central</v>
      </c>
    </row>
    <row r="145" spans="1:22" x14ac:dyDescent="0.3">
      <c r="A145" t="s">
        <v>516</v>
      </c>
      <c r="B145" t="s">
        <v>63</v>
      </c>
      <c r="C145" s="3">
        <v>45189</v>
      </c>
      <c r="D145" t="s">
        <v>22</v>
      </c>
      <c r="E145" t="s">
        <v>517</v>
      </c>
      <c r="F145" s="7">
        <v>66</v>
      </c>
      <c r="H145" t="s">
        <v>518</v>
      </c>
      <c r="I145" t="s">
        <v>94</v>
      </c>
      <c r="J145" t="s">
        <v>83</v>
      </c>
      <c r="K145" t="s">
        <v>71</v>
      </c>
      <c r="L145" t="s">
        <v>46</v>
      </c>
      <c r="M145" t="s">
        <v>28</v>
      </c>
      <c r="N145" t="s">
        <v>35</v>
      </c>
      <c r="O145" s="3"/>
      <c r="Q145" t="s">
        <v>28</v>
      </c>
      <c r="T145" t="s">
        <v>519</v>
      </c>
      <c r="U145" t="s">
        <v>408</v>
      </c>
      <c r="V145" t="str">
        <f>_xlfn.XLOOKUP(U145, Mapping!$A$2:$A$48, Mapping!$B$2:$B$48, "Unknown County")</f>
        <v>Central</v>
      </c>
    </row>
    <row r="146" spans="1:22" x14ac:dyDescent="0.3">
      <c r="A146" t="s">
        <v>28</v>
      </c>
      <c r="B146" t="s">
        <v>381</v>
      </c>
      <c r="C146" s="3">
        <v>45221</v>
      </c>
      <c r="D146" t="s">
        <v>22</v>
      </c>
      <c r="E146" t="s">
        <v>520</v>
      </c>
      <c r="F146" s="7">
        <v>22</v>
      </c>
      <c r="H146" t="s">
        <v>28</v>
      </c>
      <c r="I146" t="s">
        <v>1585</v>
      </c>
      <c r="J146" t="s">
        <v>88</v>
      </c>
      <c r="K146" t="s">
        <v>84</v>
      </c>
      <c r="L146" t="s">
        <v>59</v>
      </c>
      <c r="M146" t="s">
        <v>521</v>
      </c>
      <c r="N146" t="s">
        <v>35</v>
      </c>
      <c r="O146" s="3"/>
      <c r="Q146" t="s">
        <v>28</v>
      </c>
      <c r="T146" t="s">
        <v>522</v>
      </c>
      <c r="U146" t="s">
        <v>408</v>
      </c>
      <c r="V146" t="str">
        <f>_xlfn.XLOOKUP(U146, Mapping!$A$2:$A$48, Mapping!$B$2:$B$48, "Unknown County")</f>
        <v>Central</v>
      </c>
    </row>
    <row r="147" spans="1:22" x14ac:dyDescent="0.3">
      <c r="A147" t="s">
        <v>523</v>
      </c>
      <c r="B147" t="s">
        <v>21</v>
      </c>
      <c r="C147" s="3">
        <v>43903</v>
      </c>
      <c r="D147" t="s">
        <v>22</v>
      </c>
      <c r="E147" t="s">
        <v>524</v>
      </c>
      <c r="F147" s="7">
        <v>20</v>
      </c>
      <c r="H147" t="s">
        <v>525</v>
      </c>
      <c r="I147" t="s">
        <v>70</v>
      </c>
      <c r="J147" t="s">
        <v>25</v>
      </c>
      <c r="K147" t="s">
        <v>84</v>
      </c>
      <c r="L147" t="s">
        <v>46</v>
      </c>
      <c r="M147" t="s">
        <v>28</v>
      </c>
      <c r="N147" t="s">
        <v>35</v>
      </c>
      <c r="O147" s="3"/>
      <c r="Q147" t="s">
        <v>28</v>
      </c>
      <c r="T147" t="s">
        <v>526</v>
      </c>
      <c r="U147" t="s">
        <v>527</v>
      </c>
      <c r="V147" t="str">
        <f>_xlfn.XLOOKUP(U147, Mapping!$A$2:$A$48, Mapping!$B$2:$B$48, "Unknown County")</f>
        <v>Coast</v>
      </c>
    </row>
    <row r="148" spans="1:22" x14ac:dyDescent="0.3">
      <c r="A148" t="s">
        <v>528</v>
      </c>
      <c r="B148" t="s">
        <v>63</v>
      </c>
      <c r="C148" s="3">
        <v>44956</v>
      </c>
      <c r="D148" t="s">
        <v>22</v>
      </c>
      <c r="E148" t="s">
        <v>529</v>
      </c>
      <c r="F148" s="7">
        <v>26</v>
      </c>
      <c r="H148" t="s">
        <v>530</v>
      </c>
      <c r="I148" t="s">
        <v>39</v>
      </c>
      <c r="J148" t="s">
        <v>25</v>
      </c>
      <c r="K148" t="s">
        <v>71</v>
      </c>
      <c r="L148" t="s">
        <v>59</v>
      </c>
      <c r="M148" t="s">
        <v>531</v>
      </c>
      <c r="N148" t="s">
        <v>35</v>
      </c>
      <c r="O148" s="3"/>
      <c r="Q148" t="s">
        <v>28</v>
      </c>
      <c r="T148" t="s">
        <v>532</v>
      </c>
      <c r="U148" t="s">
        <v>527</v>
      </c>
      <c r="V148" t="str">
        <f>_xlfn.XLOOKUP(U148, Mapping!$A$2:$A$48, Mapping!$B$2:$B$48, "Unknown County")</f>
        <v>Coast</v>
      </c>
    </row>
    <row r="149" spans="1:22" x14ac:dyDescent="0.3">
      <c r="A149" t="s">
        <v>533</v>
      </c>
      <c r="B149" t="s">
        <v>58</v>
      </c>
      <c r="C149" s="3">
        <v>43165</v>
      </c>
      <c r="D149" t="s">
        <v>22</v>
      </c>
      <c r="E149" t="s">
        <v>534</v>
      </c>
      <c r="F149" s="7">
        <v>50</v>
      </c>
      <c r="H149" t="s">
        <v>28</v>
      </c>
      <c r="I149" t="s">
        <v>39</v>
      </c>
      <c r="J149" t="s">
        <v>25</v>
      </c>
      <c r="K149" t="s">
        <v>26</v>
      </c>
      <c r="L149" t="s">
        <v>33</v>
      </c>
      <c r="M149" t="s">
        <v>34</v>
      </c>
      <c r="N149" t="s">
        <v>35</v>
      </c>
      <c r="O149" s="3"/>
      <c r="Q149" t="s">
        <v>28</v>
      </c>
      <c r="T149" t="s">
        <v>535</v>
      </c>
      <c r="U149" t="s">
        <v>536</v>
      </c>
      <c r="V149" t="str">
        <f>_xlfn.XLOOKUP(U149, Mapping!$A$2:$A$48, Mapping!$B$2:$B$48, "Unknown County")</f>
        <v>Central</v>
      </c>
    </row>
    <row r="150" spans="1:22" x14ac:dyDescent="0.3">
      <c r="A150" t="s">
        <v>533</v>
      </c>
      <c r="B150" t="s">
        <v>58</v>
      </c>
      <c r="C150" s="3">
        <v>43254</v>
      </c>
      <c r="D150" t="s">
        <v>22</v>
      </c>
      <c r="E150" t="s">
        <v>537</v>
      </c>
      <c r="F150" s="7">
        <v>58</v>
      </c>
      <c r="H150" t="s">
        <v>28</v>
      </c>
      <c r="I150" t="s">
        <v>186</v>
      </c>
      <c r="J150" t="s">
        <v>25</v>
      </c>
      <c r="K150" t="s">
        <v>26</v>
      </c>
      <c r="L150" t="s">
        <v>59</v>
      </c>
      <c r="M150" t="s">
        <v>225</v>
      </c>
      <c r="N150" t="s">
        <v>35</v>
      </c>
      <c r="O150" s="3"/>
      <c r="Q150" t="s">
        <v>28</v>
      </c>
      <c r="T150" t="s">
        <v>538</v>
      </c>
      <c r="U150" t="s">
        <v>536</v>
      </c>
      <c r="V150" t="str">
        <f>_xlfn.XLOOKUP(U150, Mapping!$A$2:$A$48, Mapping!$B$2:$B$48, "Unknown County")</f>
        <v>Central</v>
      </c>
    </row>
    <row r="151" spans="1:22" x14ac:dyDescent="0.3">
      <c r="A151" t="s">
        <v>185</v>
      </c>
      <c r="B151" t="s">
        <v>63</v>
      </c>
      <c r="C151" s="3">
        <v>43513</v>
      </c>
      <c r="D151" t="s">
        <v>22</v>
      </c>
      <c r="E151" t="s">
        <v>539</v>
      </c>
      <c r="F151" s="7">
        <v>22</v>
      </c>
      <c r="H151" t="s">
        <v>28</v>
      </c>
      <c r="I151" t="s">
        <v>70</v>
      </c>
      <c r="J151" t="s">
        <v>25</v>
      </c>
      <c r="K151" t="s">
        <v>84</v>
      </c>
      <c r="L151" t="s">
        <v>173</v>
      </c>
      <c r="M151" t="s">
        <v>34</v>
      </c>
      <c r="N151" t="s">
        <v>35</v>
      </c>
      <c r="O151" s="3"/>
      <c r="Q151" t="s">
        <v>28</v>
      </c>
      <c r="T151" t="s">
        <v>540</v>
      </c>
      <c r="U151" t="s">
        <v>536</v>
      </c>
      <c r="V151" t="str">
        <f>_xlfn.XLOOKUP(U151, Mapping!$A$2:$A$48, Mapping!$B$2:$B$48, "Unknown County")</f>
        <v>Central</v>
      </c>
    </row>
    <row r="152" spans="1:22" x14ac:dyDescent="0.3">
      <c r="A152" t="s">
        <v>185</v>
      </c>
      <c r="B152" t="s">
        <v>63</v>
      </c>
      <c r="C152" s="3">
        <v>43618</v>
      </c>
      <c r="D152" t="s">
        <v>22</v>
      </c>
      <c r="E152" t="s">
        <v>541</v>
      </c>
      <c r="F152" s="7"/>
      <c r="H152" t="s">
        <v>28</v>
      </c>
      <c r="I152" t="s">
        <v>39</v>
      </c>
      <c r="J152" t="s">
        <v>25</v>
      </c>
      <c r="K152" t="s">
        <v>26</v>
      </c>
      <c r="L152" t="s">
        <v>165</v>
      </c>
      <c r="M152" t="s">
        <v>542</v>
      </c>
      <c r="N152" t="s">
        <v>35</v>
      </c>
      <c r="O152" s="3"/>
      <c r="Q152" t="s">
        <v>28</v>
      </c>
      <c r="T152" t="s">
        <v>540</v>
      </c>
      <c r="U152" t="s">
        <v>536</v>
      </c>
      <c r="V152" t="str">
        <f>_xlfn.XLOOKUP(U152, Mapping!$A$2:$A$48, Mapping!$B$2:$B$48, "Unknown County")</f>
        <v>Central</v>
      </c>
    </row>
    <row r="153" spans="1:22" x14ac:dyDescent="0.3">
      <c r="A153" t="s">
        <v>185</v>
      </c>
      <c r="B153" t="s">
        <v>63</v>
      </c>
      <c r="C153" s="3">
        <v>43689</v>
      </c>
      <c r="D153" t="s">
        <v>22</v>
      </c>
      <c r="E153" t="s">
        <v>543</v>
      </c>
      <c r="F153" s="7">
        <v>80</v>
      </c>
      <c r="H153" t="s">
        <v>28</v>
      </c>
      <c r="I153" t="s">
        <v>82</v>
      </c>
      <c r="J153" t="s">
        <v>28</v>
      </c>
      <c r="K153" t="s">
        <v>26</v>
      </c>
      <c r="L153" t="s">
        <v>165</v>
      </c>
      <c r="M153" t="s">
        <v>28</v>
      </c>
      <c r="N153" t="s">
        <v>35</v>
      </c>
      <c r="O153" s="3"/>
      <c r="Q153" t="s">
        <v>28</v>
      </c>
      <c r="T153" t="s">
        <v>544</v>
      </c>
      <c r="U153" t="s">
        <v>536</v>
      </c>
      <c r="V153" t="str">
        <f>_xlfn.XLOOKUP(U153, Mapping!$A$2:$A$48, Mapping!$B$2:$B$48, "Unknown County")</f>
        <v>Central</v>
      </c>
    </row>
    <row r="154" spans="1:22" x14ac:dyDescent="0.3">
      <c r="A154" t="s">
        <v>185</v>
      </c>
      <c r="B154" t="s">
        <v>63</v>
      </c>
      <c r="C154" s="3">
        <v>43819</v>
      </c>
      <c r="D154" t="s">
        <v>22</v>
      </c>
      <c r="E154" t="s">
        <v>545</v>
      </c>
      <c r="F154" s="7"/>
      <c r="H154" t="s">
        <v>546</v>
      </c>
      <c r="I154" t="s">
        <v>39</v>
      </c>
      <c r="J154" t="s">
        <v>25</v>
      </c>
      <c r="K154" t="s">
        <v>26</v>
      </c>
      <c r="L154" t="s">
        <v>59</v>
      </c>
      <c r="M154" t="s">
        <v>34</v>
      </c>
      <c r="N154" t="s">
        <v>140</v>
      </c>
      <c r="O154" s="3"/>
      <c r="Q154" t="s">
        <v>28</v>
      </c>
      <c r="T154" t="s">
        <v>547</v>
      </c>
      <c r="U154" t="s">
        <v>536</v>
      </c>
      <c r="V154" t="str">
        <f>_xlfn.XLOOKUP(U154, Mapping!$A$2:$A$48, Mapping!$B$2:$B$48, "Unknown County")</f>
        <v>Central</v>
      </c>
    </row>
    <row r="155" spans="1:22" x14ac:dyDescent="0.3">
      <c r="A155" t="s">
        <v>185</v>
      </c>
      <c r="B155" t="s">
        <v>63</v>
      </c>
      <c r="C155" s="3">
        <v>43939</v>
      </c>
      <c r="D155" t="s">
        <v>22</v>
      </c>
      <c r="E155" t="s">
        <v>28</v>
      </c>
      <c r="F155" s="7">
        <v>30</v>
      </c>
      <c r="H155" t="s">
        <v>28</v>
      </c>
      <c r="I155" t="s">
        <v>39</v>
      </c>
      <c r="J155" t="s">
        <v>25</v>
      </c>
      <c r="K155" t="s">
        <v>26</v>
      </c>
      <c r="L155" t="s">
        <v>40</v>
      </c>
      <c r="M155" t="s">
        <v>34</v>
      </c>
      <c r="N155" t="s">
        <v>35</v>
      </c>
      <c r="O155" s="3"/>
      <c r="Q155" t="s">
        <v>28</v>
      </c>
      <c r="T155" t="s">
        <v>548</v>
      </c>
      <c r="U155" t="s">
        <v>536</v>
      </c>
      <c r="V155" t="str">
        <f>_xlfn.XLOOKUP(U155, Mapping!$A$2:$A$48, Mapping!$B$2:$B$48, "Unknown County")</f>
        <v>Central</v>
      </c>
    </row>
    <row r="156" spans="1:22" x14ac:dyDescent="0.3">
      <c r="A156" t="s">
        <v>549</v>
      </c>
      <c r="B156" t="s">
        <v>21</v>
      </c>
      <c r="C156" s="3">
        <v>44153</v>
      </c>
      <c r="D156" t="s">
        <v>22</v>
      </c>
      <c r="E156" t="s">
        <v>550</v>
      </c>
      <c r="F156" s="7"/>
      <c r="H156" t="s">
        <v>551</v>
      </c>
      <c r="I156" t="s">
        <v>1584</v>
      </c>
      <c r="J156" t="s">
        <v>25</v>
      </c>
      <c r="K156" t="s">
        <v>26</v>
      </c>
      <c r="L156" t="s">
        <v>59</v>
      </c>
      <c r="M156" t="s">
        <v>34</v>
      </c>
      <c r="N156" t="s">
        <v>35</v>
      </c>
      <c r="O156" s="3"/>
      <c r="Q156" t="s">
        <v>28</v>
      </c>
      <c r="T156" t="s">
        <v>552</v>
      </c>
      <c r="U156" t="s">
        <v>536</v>
      </c>
      <c r="V156" t="str">
        <f>_xlfn.XLOOKUP(U156, Mapping!$A$2:$A$48, Mapping!$B$2:$B$48, "Unknown County")</f>
        <v>Central</v>
      </c>
    </row>
    <row r="157" spans="1:22" x14ac:dyDescent="0.3">
      <c r="A157" t="s">
        <v>553</v>
      </c>
      <c r="B157" t="s">
        <v>267</v>
      </c>
      <c r="C157" s="3">
        <v>44177</v>
      </c>
      <c r="D157" t="s">
        <v>22</v>
      </c>
      <c r="E157" t="s">
        <v>554</v>
      </c>
      <c r="F157" s="7">
        <v>57</v>
      </c>
      <c r="H157" t="s">
        <v>28</v>
      </c>
      <c r="I157" t="s">
        <v>82</v>
      </c>
      <c r="J157" t="s">
        <v>28</v>
      </c>
      <c r="K157" t="s">
        <v>84</v>
      </c>
      <c r="L157" t="s">
        <v>165</v>
      </c>
      <c r="M157" t="s">
        <v>28</v>
      </c>
      <c r="N157" t="s">
        <v>35</v>
      </c>
      <c r="O157" s="3"/>
      <c r="Q157" t="s">
        <v>28</v>
      </c>
      <c r="T157" t="s">
        <v>555</v>
      </c>
      <c r="U157" t="s">
        <v>536</v>
      </c>
      <c r="V157" t="str">
        <f>_xlfn.XLOOKUP(U157, Mapping!$A$2:$A$48, Mapping!$B$2:$B$48, "Unknown County")</f>
        <v>Central</v>
      </c>
    </row>
    <row r="158" spans="1:22" x14ac:dyDescent="0.3">
      <c r="A158" t="s">
        <v>556</v>
      </c>
      <c r="B158" t="s">
        <v>58</v>
      </c>
      <c r="C158" s="3">
        <v>44530</v>
      </c>
      <c r="D158" t="s">
        <v>22</v>
      </c>
      <c r="E158" t="s">
        <v>557</v>
      </c>
      <c r="F158" s="7">
        <v>38</v>
      </c>
      <c r="H158" t="s">
        <v>558</v>
      </c>
      <c r="I158" t="s">
        <v>39</v>
      </c>
      <c r="J158" t="s">
        <v>25</v>
      </c>
      <c r="K158" t="s">
        <v>26</v>
      </c>
      <c r="L158" t="s">
        <v>59</v>
      </c>
      <c r="M158" t="s">
        <v>34</v>
      </c>
      <c r="N158" t="s">
        <v>1384</v>
      </c>
      <c r="O158" s="3">
        <v>44531</v>
      </c>
      <c r="Q158" t="s">
        <v>28</v>
      </c>
      <c r="T158" t="s">
        <v>559</v>
      </c>
      <c r="U158" t="s">
        <v>536</v>
      </c>
      <c r="V158" t="str">
        <f>_xlfn.XLOOKUP(U158, Mapping!$A$2:$A$48, Mapping!$B$2:$B$48, "Unknown County")</f>
        <v>Central</v>
      </c>
    </row>
    <row r="159" spans="1:22" x14ac:dyDescent="0.3">
      <c r="A159" t="s">
        <v>560</v>
      </c>
      <c r="B159" t="s">
        <v>58</v>
      </c>
      <c r="C159" s="3">
        <v>44550</v>
      </c>
      <c r="D159" t="s">
        <v>22</v>
      </c>
      <c r="E159" t="s">
        <v>561</v>
      </c>
      <c r="F159" s="7">
        <v>37</v>
      </c>
      <c r="H159" t="s">
        <v>562</v>
      </c>
      <c r="I159" t="s">
        <v>39</v>
      </c>
      <c r="J159" t="s">
        <v>25</v>
      </c>
      <c r="K159" t="s">
        <v>26</v>
      </c>
      <c r="L159" t="s">
        <v>72</v>
      </c>
      <c r="M159" t="s">
        <v>60</v>
      </c>
      <c r="N159" t="s">
        <v>35</v>
      </c>
      <c r="O159" s="3"/>
      <c r="Q159" t="s">
        <v>28</v>
      </c>
      <c r="T159" t="s">
        <v>563</v>
      </c>
      <c r="U159" t="s">
        <v>536</v>
      </c>
      <c r="V159" t="str">
        <f>_xlfn.XLOOKUP(U159, Mapping!$A$2:$A$48, Mapping!$B$2:$B$48, "Unknown County")</f>
        <v>Central</v>
      </c>
    </row>
    <row r="160" spans="1:22" x14ac:dyDescent="0.3">
      <c r="A160" t="s">
        <v>564</v>
      </c>
      <c r="B160" t="s">
        <v>21</v>
      </c>
      <c r="C160" s="3">
        <v>44868</v>
      </c>
      <c r="D160" t="s">
        <v>22</v>
      </c>
      <c r="E160" t="s">
        <v>565</v>
      </c>
      <c r="F160" s="7">
        <v>40</v>
      </c>
      <c r="H160" t="s">
        <v>566</v>
      </c>
      <c r="I160" t="s">
        <v>39</v>
      </c>
      <c r="J160" t="s">
        <v>25</v>
      </c>
      <c r="K160" t="s">
        <v>26</v>
      </c>
      <c r="L160" t="s">
        <v>59</v>
      </c>
      <c r="M160" t="s">
        <v>34</v>
      </c>
      <c r="N160" t="s">
        <v>140</v>
      </c>
      <c r="O160" s="3"/>
      <c r="Q160" t="s">
        <v>28</v>
      </c>
      <c r="T160" t="s">
        <v>567</v>
      </c>
      <c r="U160" t="s">
        <v>536</v>
      </c>
      <c r="V160" t="str">
        <f>_xlfn.XLOOKUP(U160, Mapping!$A$2:$A$48, Mapping!$B$2:$B$48, "Unknown County")</f>
        <v>Central</v>
      </c>
    </row>
    <row r="161" spans="1:22" x14ac:dyDescent="0.3">
      <c r="A161" t="s">
        <v>185</v>
      </c>
      <c r="B161" t="s">
        <v>63</v>
      </c>
      <c r="C161" s="3">
        <v>44988</v>
      </c>
      <c r="D161" t="s">
        <v>22</v>
      </c>
      <c r="E161" t="s">
        <v>568</v>
      </c>
      <c r="F161" s="7">
        <v>44</v>
      </c>
      <c r="H161" t="s">
        <v>28</v>
      </c>
      <c r="I161" t="s">
        <v>70</v>
      </c>
      <c r="J161" t="s">
        <v>25</v>
      </c>
      <c r="K161" t="s">
        <v>71</v>
      </c>
      <c r="L161" t="s">
        <v>40</v>
      </c>
      <c r="M161" t="s">
        <v>28</v>
      </c>
      <c r="N161" t="s">
        <v>35</v>
      </c>
      <c r="O161" s="3"/>
      <c r="Q161" t="s">
        <v>28</v>
      </c>
      <c r="T161" t="s">
        <v>569</v>
      </c>
      <c r="U161" t="s">
        <v>536</v>
      </c>
      <c r="V161" t="str">
        <f>_xlfn.XLOOKUP(U161, Mapping!$A$2:$A$48, Mapping!$B$2:$B$48, "Unknown County")</f>
        <v>Central</v>
      </c>
    </row>
    <row r="162" spans="1:22" x14ac:dyDescent="0.3">
      <c r="A162" t="s">
        <v>570</v>
      </c>
      <c r="B162" t="s">
        <v>571</v>
      </c>
      <c r="C162" s="3">
        <v>45110</v>
      </c>
      <c r="D162" t="s">
        <v>22</v>
      </c>
      <c r="E162" t="s">
        <v>28</v>
      </c>
      <c r="F162" s="7">
        <v>9</v>
      </c>
      <c r="G162" s="3">
        <v>45060</v>
      </c>
      <c r="H162" t="s">
        <v>572</v>
      </c>
      <c r="I162" t="s">
        <v>186</v>
      </c>
      <c r="J162" t="s">
        <v>83</v>
      </c>
      <c r="K162" t="s">
        <v>84</v>
      </c>
      <c r="L162" t="s">
        <v>85</v>
      </c>
      <c r="M162" t="s">
        <v>28</v>
      </c>
      <c r="N162" t="s">
        <v>35</v>
      </c>
      <c r="O162" s="3"/>
      <c r="Q162" t="s">
        <v>28</v>
      </c>
      <c r="T162" t="s">
        <v>573</v>
      </c>
      <c r="U162" t="s">
        <v>536</v>
      </c>
      <c r="V162" t="str">
        <f>_xlfn.XLOOKUP(U162, Mapping!$A$2:$A$48, Mapping!$B$2:$B$48, "Unknown County")</f>
        <v>Central</v>
      </c>
    </row>
    <row r="163" spans="1:22" x14ac:dyDescent="0.3">
      <c r="A163" t="s">
        <v>564</v>
      </c>
      <c r="B163" t="s">
        <v>21</v>
      </c>
      <c r="C163" s="3">
        <v>45111</v>
      </c>
      <c r="D163" t="s">
        <v>22</v>
      </c>
      <c r="E163" t="s">
        <v>574</v>
      </c>
      <c r="F163" s="7">
        <v>37</v>
      </c>
      <c r="H163" t="s">
        <v>575</v>
      </c>
      <c r="I163" t="s">
        <v>39</v>
      </c>
      <c r="J163" t="s">
        <v>25</v>
      </c>
      <c r="K163" t="s">
        <v>71</v>
      </c>
      <c r="L163" t="s">
        <v>40</v>
      </c>
      <c r="M163" t="s">
        <v>576</v>
      </c>
      <c r="N163" t="s">
        <v>509</v>
      </c>
      <c r="O163" s="3"/>
      <c r="Q163" t="s">
        <v>28</v>
      </c>
      <c r="T163" t="s">
        <v>577</v>
      </c>
      <c r="U163" t="s">
        <v>536</v>
      </c>
      <c r="V163" t="str">
        <f>_xlfn.XLOOKUP(U163, Mapping!$A$2:$A$48, Mapping!$B$2:$B$48, "Unknown County")</f>
        <v>Central</v>
      </c>
    </row>
    <row r="164" spans="1:22" x14ac:dyDescent="0.3">
      <c r="A164" t="s">
        <v>533</v>
      </c>
      <c r="B164" t="s">
        <v>135</v>
      </c>
      <c r="C164" s="3">
        <v>44319</v>
      </c>
      <c r="D164" t="s">
        <v>22</v>
      </c>
      <c r="E164" t="s">
        <v>578</v>
      </c>
      <c r="F164" s="7">
        <v>45</v>
      </c>
      <c r="H164" t="s">
        <v>28</v>
      </c>
      <c r="I164" t="s">
        <v>82</v>
      </c>
      <c r="J164" t="s">
        <v>28</v>
      </c>
      <c r="K164" t="s">
        <v>71</v>
      </c>
      <c r="L164" t="s">
        <v>173</v>
      </c>
      <c r="M164" t="s">
        <v>28</v>
      </c>
      <c r="N164" t="s">
        <v>28</v>
      </c>
      <c r="O164" s="3"/>
      <c r="Q164" t="s">
        <v>28</v>
      </c>
      <c r="T164" t="s">
        <v>579</v>
      </c>
      <c r="U164" t="s">
        <v>536</v>
      </c>
      <c r="V164" t="str">
        <f>_xlfn.XLOOKUP(U164, Mapping!$A$2:$A$48, Mapping!$B$2:$B$48, "Unknown County")</f>
        <v>Central</v>
      </c>
    </row>
    <row r="165" spans="1:22" x14ac:dyDescent="0.3">
      <c r="A165" t="s">
        <v>580</v>
      </c>
      <c r="B165" t="s">
        <v>58</v>
      </c>
      <c r="C165" s="3">
        <v>42723</v>
      </c>
      <c r="D165" t="s">
        <v>22</v>
      </c>
      <c r="E165" t="s">
        <v>581</v>
      </c>
      <c r="F165" s="7">
        <v>12</v>
      </c>
      <c r="H165" t="s">
        <v>28</v>
      </c>
      <c r="I165" t="s">
        <v>82</v>
      </c>
      <c r="J165" t="s">
        <v>28</v>
      </c>
      <c r="K165" t="s">
        <v>84</v>
      </c>
      <c r="L165" t="s">
        <v>33</v>
      </c>
      <c r="M165" t="s">
        <v>28</v>
      </c>
      <c r="N165" t="s">
        <v>35</v>
      </c>
      <c r="O165" s="3"/>
      <c r="Q165" t="s">
        <v>28</v>
      </c>
      <c r="T165" t="s">
        <v>582</v>
      </c>
      <c r="U165" t="s">
        <v>583</v>
      </c>
      <c r="V165" t="str">
        <f>_xlfn.XLOOKUP(U165, Mapping!$A$2:$A$48, Mapping!$B$2:$B$48, "Unknown County")</f>
        <v>Nyanza</v>
      </c>
    </row>
    <row r="166" spans="1:22" x14ac:dyDescent="0.3">
      <c r="A166" t="s">
        <v>580</v>
      </c>
      <c r="B166" t="s">
        <v>58</v>
      </c>
      <c r="C166" s="3">
        <v>42881</v>
      </c>
      <c r="D166" t="s">
        <v>22</v>
      </c>
      <c r="E166" t="s">
        <v>584</v>
      </c>
      <c r="F166" s="7">
        <v>22</v>
      </c>
      <c r="G166" s="3">
        <v>42880</v>
      </c>
      <c r="H166" t="s">
        <v>585</v>
      </c>
      <c r="I166" t="s">
        <v>70</v>
      </c>
      <c r="J166" t="s">
        <v>25</v>
      </c>
      <c r="K166" t="s">
        <v>106</v>
      </c>
      <c r="L166" t="s">
        <v>165</v>
      </c>
      <c r="M166" t="s">
        <v>34</v>
      </c>
      <c r="N166" t="s">
        <v>28</v>
      </c>
      <c r="O166" s="3"/>
      <c r="Q166" t="s">
        <v>28</v>
      </c>
      <c r="T166" t="s">
        <v>586</v>
      </c>
      <c r="U166" t="s">
        <v>583</v>
      </c>
      <c r="V166" t="str">
        <f>_xlfn.XLOOKUP(U166, Mapping!$A$2:$A$48, Mapping!$B$2:$B$48, "Unknown County")</f>
        <v>Nyanza</v>
      </c>
    </row>
    <row r="167" spans="1:22" x14ac:dyDescent="0.3">
      <c r="A167" t="s">
        <v>587</v>
      </c>
      <c r="B167" t="s">
        <v>58</v>
      </c>
      <c r="C167" s="3">
        <v>42901</v>
      </c>
      <c r="D167" t="s">
        <v>22</v>
      </c>
      <c r="E167" t="s">
        <v>588</v>
      </c>
      <c r="F167" s="7">
        <v>24</v>
      </c>
      <c r="H167" t="s">
        <v>589</v>
      </c>
      <c r="I167" t="s">
        <v>94</v>
      </c>
      <c r="J167" t="s">
        <v>83</v>
      </c>
      <c r="K167" t="s">
        <v>26</v>
      </c>
      <c r="L167" t="s">
        <v>59</v>
      </c>
      <c r="M167" t="s">
        <v>60</v>
      </c>
      <c r="N167" t="s">
        <v>28</v>
      </c>
      <c r="O167" s="3"/>
      <c r="Q167" t="s">
        <v>28</v>
      </c>
      <c r="T167" t="s">
        <v>590</v>
      </c>
      <c r="U167" t="s">
        <v>583</v>
      </c>
      <c r="V167" t="str">
        <f>_xlfn.XLOOKUP(U167, Mapping!$A$2:$A$48, Mapping!$B$2:$B$48, "Unknown County")</f>
        <v>Nyanza</v>
      </c>
    </row>
    <row r="168" spans="1:22" x14ac:dyDescent="0.3">
      <c r="A168" t="s">
        <v>591</v>
      </c>
      <c r="B168" t="s">
        <v>171</v>
      </c>
      <c r="C168" s="3">
        <v>43303</v>
      </c>
      <c r="D168" t="s">
        <v>22</v>
      </c>
      <c r="E168" t="s">
        <v>592</v>
      </c>
      <c r="F168" s="7">
        <v>23</v>
      </c>
      <c r="H168" t="s">
        <v>593</v>
      </c>
      <c r="I168" t="s">
        <v>70</v>
      </c>
      <c r="J168" t="s">
        <v>25</v>
      </c>
      <c r="K168" t="s">
        <v>594</v>
      </c>
      <c r="L168" t="s">
        <v>110</v>
      </c>
      <c r="M168" t="s">
        <v>373</v>
      </c>
      <c r="N168" t="s">
        <v>35</v>
      </c>
      <c r="O168" s="3"/>
      <c r="Q168" t="s">
        <v>28</v>
      </c>
      <c r="T168" t="s">
        <v>595</v>
      </c>
      <c r="U168" t="s">
        <v>583</v>
      </c>
      <c r="V168" t="str">
        <f>_xlfn.XLOOKUP(U168, Mapping!$A$2:$A$48, Mapping!$B$2:$B$48, "Unknown County")</f>
        <v>Nyanza</v>
      </c>
    </row>
    <row r="169" spans="1:22" x14ac:dyDescent="0.3">
      <c r="A169" t="s">
        <v>580</v>
      </c>
      <c r="B169" t="s">
        <v>58</v>
      </c>
      <c r="C169" s="3">
        <v>43369</v>
      </c>
      <c r="D169" t="s">
        <v>22</v>
      </c>
      <c r="E169" t="s">
        <v>596</v>
      </c>
      <c r="F169" s="7">
        <v>17</v>
      </c>
      <c r="H169" t="s">
        <v>28</v>
      </c>
      <c r="I169" t="s">
        <v>1585</v>
      </c>
      <c r="J169" t="s">
        <v>25</v>
      </c>
      <c r="K169" t="s">
        <v>84</v>
      </c>
      <c r="L169" t="s">
        <v>46</v>
      </c>
      <c r="M169" t="s">
        <v>60</v>
      </c>
      <c r="N169" t="s">
        <v>35</v>
      </c>
      <c r="O169" s="3"/>
      <c r="Q169" t="s">
        <v>28</v>
      </c>
      <c r="T169" t="s">
        <v>597</v>
      </c>
      <c r="U169" t="s">
        <v>583</v>
      </c>
      <c r="V169" t="str">
        <f>_xlfn.XLOOKUP(U169, Mapping!$A$2:$A$48, Mapping!$B$2:$B$48, "Unknown County")</f>
        <v>Nyanza</v>
      </c>
    </row>
    <row r="170" spans="1:22" x14ac:dyDescent="0.3">
      <c r="A170" t="s">
        <v>434</v>
      </c>
      <c r="B170" t="s">
        <v>63</v>
      </c>
      <c r="C170" s="3">
        <v>43484</v>
      </c>
      <c r="D170" t="s">
        <v>22</v>
      </c>
      <c r="E170" t="s">
        <v>598</v>
      </c>
      <c r="F170" s="7"/>
      <c r="H170" t="s">
        <v>599</v>
      </c>
      <c r="I170" t="s">
        <v>1585</v>
      </c>
      <c r="J170" t="s">
        <v>25</v>
      </c>
      <c r="K170" t="s">
        <v>26</v>
      </c>
      <c r="L170" t="s">
        <v>165</v>
      </c>
      <c r="M170" t="s">
        <v>34</v>
      </c>
      <c r="N170" t="s">
        <v>35</v>
      </c>
      <c r="O170" s="3"/>
      <c r="Q170" t="s">
        <v>28</v>
      </c>
      <c r="T170" t="s">
        <v>600</v>
      </c>
      <c r="U170" t="s">
        <v>583</v>
      </c>
      <c r="V170" t="str">
        <f>_xlfn.XLOOKUP(U170, Mapping!$A$2:$A$48, Mapping!$B$2:$B$48, "Unknown County")</f>
        <v>Nyanza</v>
      </c>
    </row>
    <row r="171" spans="1:22" x14ac:dyDescent="0.3">
      <c r="A171" t="s">
        <v>28</v>
      </c>
      <c r="B171" t="s">
        <v>47</v>
      </c>
      <c r="D171" t="s">
        <v>22</v>
      </c>
      <c r="E171" t="s">
        <v>601</v>
      </c>
      <c r="F171" s="7"/>
      <c r="H171" t="s">
        <v>28</v>
      </c>
      <c r="I171" t="s">
        <v>82</v>
      </c>
      <c r="J171" t="s">
        <v>28</v>
      </c>
      <c r="K171" t="s">
        <v>28</v>
      </c>
      <c r="L171" t="s">
        <v>46</v>
      </c>
      <c r="M171" t="s">
        <v>28</v>
      </c>
      <c r="N171" t="s">
        <v>28</v>
      </c>
      <c r="O171" s="3"/>
      <c r="Q171" t="s">
        <v>28</v>
      </c>
      <c r="T171" t="s">
        <v>602</v>
      </c>
      <c r="U171" t="s">
        <v>583</v>
      </c>
      <c r="V171" t="str">
        <f>_xlfn.XLOOKUP(U171, Mapping!$A$2:$A$48, Mapping!$B$2:$B$48, "Unknown County")</f>
        <v>Nyanza</v>
      </c>
    </row>
    <row r="172" spans="1:22" x14ac:dyDescent="0.3">
      <c r="A172" t="s">
        <v>28</v>
      </c>
      <c r="B172" t="s">
        <v>603</v>
      </c>
      <c r="D172" t="s">
        <v>22</v>
      </c>
      <c r="E172" t="s">
        <v>604</v>
      </c>
      <c r="F172" s="7">
        <v>24</v>
      </c>
      <c r="H172" t="s">
        <v>28</v>
      </c>
      <c r="I172" t="s">
        <v>39</v>
      </c>
      <c r="J172" t="s">
        <v>28</v>
      </c>
      <c r="K172" t="s">
        <v>28</v>
      </c>
      <c r="L172" t="s">
        <v>46</v>
      </c>
      <c r="M172" t="s">
        <v>28</v>
      </c>
      <c r="N172" t="s">
        <v>28</v>
      </c>
      <c r="O172" s="3"/>
      <c r="Q172" t="s">
        <v>28</v>
      </c>
      <c r="T172" t="s">
        <v>602</v>
      </c>
      <c r="U172" t="s">
        <v>583</v>
      </c>
      <c r="V172" t="str">
        <f>_xlfn.XLOOKUP(U172, Mapping!$A$2:$A$48, Mapping!$B$2:$B$48, "Unknown County")</f>
        <v>Nyanza</v>
      </c>
    </row>
    <row r="173" spans="1:22" x14ac:dyDescent="0.3">
      <c r="A173" t="s">
        <v>605</v>
      </c>
      <c r="B173" t="s">
        <v>58</v>
      </c>
      <c r="C173" s="3">
        <v>44517</v>
      </c>
      <c r="D173" t="s">
        <v>22</v>
      </c>
      <c r="E173" t="s">
        <v>606</v>
      </c>
      <c r="F173" s="7"/>
      <c r="H173" t="s">
        <v>607</v>
      </c>
      <c r="I173" t="s">
        <v>39</v>
      </c>
      <c r="J173" t="s">
        <v>25</v>
      </c>
      <c r="K173" t="s">
        <v>26</v>
      </c>
      <c r="L173" t="s">
        <v>59</v>
      </c>
      <c r="M173" t="s">
        <v>34</v>
      </c>
      <c r="N173" t="s">
        <v>28</v>
      </c>
      <c r="O173" s="3"/>
      <c r="Q173" t="s">
        <v>29</v>
      </c>
      <c r="R173" s="7">
        <v>40</v>
      </c>
      <c r="S173" s="7">
        <v>708</v>
      </c>
      <c r="T173" t="s">
        <v>608</v>
      </c>
      <c r="U173" t="s">
        <v>583</v>
      </c>
      <c r="V173" t="str">
        <f>_xlfn.XLOOKUP(U173, Mapping!$A$2:$A$48, Mapping!$B$2:$B$48, "Unknown County")</f>
        <v>Nyanza</v>
      </c>
    </row>
    <row r="174" spans="1:22" x14ac:dyDescent="0.3">
      <c r="A174" t="s">
        <v>609</v>
      </c>
      <c r="B174" t="s">
        <v>267</v>
      </c>
      <c r="C174" s="3">
        <v>44211</v>
      </c>
      <c r="D174" t="s">
        <v>22</v>
      </c>
      <c r="E174" t="s">
        <v>610</v>
      </c>
      <c r="F174" s="7">
        <v>32</v>
      </c>
      <c r="H174" t="s">
        <v>611</v>
      </c>
      <c r="I174" t="s">
        <v>39</v>
      </c>
      <c r="J174" t="s">
        <v>25</v>
      </c>
      <c r="K174" t="s">
        <v>26</v>
      </c>
      <c r="L174" t="s">
        <v>165</v>
      </c>
      <c r="M174" t="s">
        <v>60</v>
      </c>
      <c r="N174" t="s">
        <v>35</v>
      </c>
      <c r="O174" s="3"/>
      <c r="Q174" t="s">
        <v>28</v>
      </c>
      <c r="T174" t="s">
        <v>612</v>
      </c>
      <c r="U174" t="s">
        <v>583</v>
      </c>
      <c r="V174" t="str">
        <f>_xlfn.XLOOKUP(U174, Mapping!$A$2:$A$48, Mapping!$B$2:$B$48, "Unknown County")</f>
        <v>Nyanza</v>
      </c>
    </row>
    <row r="175" spans="1:22" x14ac:dyDescent="0.3">
      <c r="A175" t="s">
        <v>580</v>
      </c>
      <c r="B175" t="s">
        <v>135</v>
      </c>
      <c r="C175" s="3">
        <v>44211</v>
      </c>
      <c r="D175" t="s">
        <v>22</v>
      </c>
      <c r="E175" t="s">
        <v>613</v>
      </c>
      <c r="F175" s="7"/>
      <c r="H175" t="s">
        <v>614</v>
      </c>
      <c r="I175" t="s">
        <v>39</v>
      </c>
      <c r="J175" t="s">
        <v>28</v>
      </c>
      <c r="K175" t="s">
        <v>71</v>
      </c>
      <c r="L175" t="s">
        <v>27</v>
      </c>
      <c r="M175" t="s">
        <v>28</v>
      </c>
      <c r="N175" t="s">
        <v>28</v>
      </c>
      <c r="O175" s="3"/>
      <c r="Q175" t="s">
        <v>28</v>
      </c>
      <c r="T175" t="s">
        <v>602</v>
      </c>
      <c r="U175" t="s">
        <v>583</v>
      </c>
      <c r="V175" t="str">
        <f>_xlfn.XLOOKUP(U175, Mapping!$A$2:$A$48, Mapping!$B$2:$B$48, "Unknown County")</f>
        <v>Nyanza</v>
      </c>
    </row>
    <row r="176" spans="1:22" x14ac:dyDescent="0.3">
      <c r="A176" t="s">
        <v>615</v>
      </c>
      <c r="B176" t="s">
        <v>21</v>
      </c>
      <c r="C176" s="3">
        <v>44924</v>
      </c>
      <c r="D176" t="s">
        <v>22</v>
      </c>
      <c r="E176" t="s">
        <v>616</v>
      </c>
      <c r="F176" s="7">
        <v>68</v>
      </c>
      <c r="H176" t="s">
        <v>617</v>
      </c>
      <c r="I176" t="s">
        <v>39</v>
      </c>
      <c r="J176" t="s">
        <v>25</v>
      </c>
      <c r="K176" t="s">
        <v>26</v>
      </c>
      <c r="L176" t="s">
        <v>59</v>
      </c>
      <c r="M176" t="s">
        <v>34</v>
      </c>
      <c r="N176" t="s">
        <v>35</v>
      </c>
      <c r="O176" s="3"/>
      <c r="Q176" t="s">
        <v>28</v>
      </c>
      <c r="T176" t="s">
        <v>618</v>
      </c>
      <c r="U176" t="s">
        <v>583</v>
      </c>
      <c r="V176" t="str">
        <f>_xlfn.XLOOKUP(U176, Mapping!$A$2:$A$48, Mapping!$B$2:$B$48, "Unknown County")</f>
        <v>Nyanza</v>
      </c>
    </row>
    <row r="177" spans="1:22" x14ac:dyDescent="0.3">
      <c r="A177" t="s">
        <v>192</v>
      </c>
      <c r="B177" t="s">
        <v>21</v>
      </c>
      <c r="C177" s="3">
        <v>45099</v>
      </c>
      <c r="D177" t="s">
        <v>22</v>
      </c>
      <c r="E177" t="s">
        <v>28</v>
      </c>
      <c r="F177" s="7">
        <v>28</v>
      </c>
      <c r="H177" t="s">
        <v>28</v>
      </c>
      <c r="I177" t="s">
        <v>39</v>
      </c>
      <c r="J177" t="s">
        <v>25</v>
      </c>
      <c r="K177" t="s">
        <v>71</v>
      </c>
      <c r="L177" t="s">
        <v>40</v>
      </c>
      <c r="M177" t="s">
        <v>619</v>
      </c>
      <c r="N177" t="s">
        <v>35</v>
      </c>
      <c r="O177" s="3"/>
      <c r="Q177" t="s">
        <v>28</v>
      </c>
      <c r="T177" t="s">
        <v>620</v>
      </c>
      <c r="U177" t="s">
        <v>583</v>
      </c>
      <c r="V177" t="str">
        <f>_xlfn.XLOOKUP(U177, Mapping!$A$2:$A$48, Mapping!$B$2:$B$48, "Unknown County")</f>
        <v>Nyanza</v>
      </c>
    </row>
    <row r="178" spans="1:22" x14ac:dyDescent="0.3">
      <c r="A178" t="s">
        <v>192</v>
      </c>
      <c r="B178" t="s">
        <v>21</v>
      </c>
      <c r="C178" s="3">
        <v>45241</v>
      </c>
      <c r="D178" t="s">
        <v>22</v>
      </c>
      <c r="E178" t="s">
        <v>621</v>
      </c>
      <c r="F178" s="7">
        <v>23</v>
      </c>
      <c r="H178" t="s">
        <v>622</v>
      </c>
      <c r="I178" t="s">
        <v>70</v>
      </c>
      <c r="J178" t="s">
        <v>88</v>
      </c>
      <c r="K178" t="s">
        <v>71</v>
      </c>
      <c r="L178" t="s">
        <v>33</v>
      </c>
      <c r="M178" t="s">
        <v>623</v>
      </c>
      <c r="N178" t="s">
        <v>35</v>
      </c>
      <c r="O178" s="3">
        <v>45245</v>
      </c>
      <c r="Q178" t="s">
        <v>28</v>
      </c>
      <c r="T178" t="s">
        <v>583</v>
      </c>
      <c r="U178" t="s">
        <v>583</v>
      </c>
      <c r="V178" t="str">
        <f>_xlfn.XLOOKUP(U178, Mapping!$A$2:$A$48, Mapping!$B$2:$B$48, "Unknown County")</f>
        <v>Nyanza</v>
      </c>
    </row>
    <row r="179" spans="1:22" x14ac:dyDescent="0.3">
      <c r="A179" t="s">
        <v>624</v>
      </c>
      <c r="B179" t="s">
        <v>21</v>
      </c>
      <c r="C179" s="3">
        <v>42661</v>
      </c>
      <c r="D179" t="s">
        <v>22</v>
      </c>
      <c r="E179" t="s">
        <v>625</v>
      </c>
      <c r="F179" s="7">
        <v>29</v>
      </c>
      <c r="H179" t="s">
        <v>626</v>
      </c>
      <c r="I179" t="s">
        <v>39</v>
      </c>
      <c r="J179" t="s">
        <v>25</v>
      </c>
      <c r="K179" t="s">
        <v>26</v>
      </c>
      <c r="L179" t="s">
        <v>165</v>
      </c>
      <c r="M179" t="s">
        <v>34</v>
      </c>
      <c r="N179" t="s">
        <v>35</v>
      </c>
      <c r="O179" s="3"/>
      <c r="Q179" t="s">
        <v>28</v>
      </c>
      <c r="T179" t="s">
        <v>627</v>
      </c>
      <c r="U179" t="s">
        <v>628</v>
      </c>
      <c r="V179" t="str">
        <f>_xlfn.XLOOKUP(U179, Mapping!$A$2:$A$48, Mapping!$B$2:$B$48, "Unknown County")</f>
        <v>Nyanza</v>
      </c>
    </row>
    <row r="180" spans="1:22" x14ac:dyDescent="0.3">
      <c r="A180" t="s">
        <v>624</v>
      </c>
      <c r="B180" t="s">
        <v>21</v>
      </c>
      <c r="C180" s="3">
        <v>42801</v>
      </c>
      <c r="D180" t="s">
        <v>22</v>
      </c>
      <c r="E180" t="s">
        <v>629</v>
      </c>
      <c r="F180" s="7"/>
      <c r="H180" t="s">
        <v>630</v>
      </c>
      <c r="I180" t="s">
        <v>39</v>
      </c>
      <c r="J180" t="s">
        <v>25</v>
      </c>
      <c r="K180" t="s">
        <v>84</v>
      </c>
      <c r="L180" t="s">
        <v>46</v>
      </c>
      <c r="M180" t="s">
        <v>34</v>
      </c>
      <c r="N180" t="s">
        <v>28</v>
      </c>
      <c r="O180" s="3"/>
      <c r="Q180" t="s">
        <v>28</v>
      </c>
      <c r="T180" t="s">
        <v>631</v>
      </c>
      <c r="U180" t="s">
        <v>628</v>
      </c>
      <c r="V180" t="str">
        <f>_xlfn.XLOOKUP(U180, Mapping!$A$2:$A$48, Mapping!$B$2:$B$48, "Unknown County")</f>
        <v>Nyanza</v>
      </c>
    </row>
    <row r="181" spans="1:22" x14ac:dyDescent="0.3">
      <c r="A181" t="s">
        <v>624</v>
      </c>
      <c r="B181" t="s">
        <v>21</v>
      </c>
      <c r="C181" s="3">
        <v>42831</v>
      </c>
      <c r="D181" t="s">
        <v>22</v>
      </c>
      <c r="E181" t="s">
        <v>28</v>
      </c>
      <c r="F181" s="7"/>
      <c r="H181" t="s">
        <v>28</v>
      </c>
      <c r="I181" t="s">
        <v>70</v>
      </c>
      <c r="J181" t="s">
        <v>25</v>
      </c>
      <c r="K181" t="s">
        <v>84</v>
      </c>
      <c r="L181" t="s">
        <v>33</v>
      </c>
      <c r="M181" t="s">
        <v>28</v>
      </c>
      <c r="N181" t="s">
        <v>28</v>
      </c>
      <c r="O181" s="3"/>
      <c r="Q181" t="s">
        <v>28</v>
      </c>
      <c r="T181" t="s">
        <v>632</v>
      </c>
      <c r="U181" t="s">
        <v>628</v>
      </c>
      <c r="V181" t="str">
        <f>_xlfn.XLOOKUP(U181, Mapping!$A$2:$A$48, Mapping!$B$2:$B$48, "Unknown County")</f>
        <v>Nyanza</v>
      </c>
    </row>
    <row r="182" spans="1:22" x14ac:dyDescent="0.3">
      <c r="A182" t="s">
        <v>633</v>
      </c>
      <c r="B182" t="s">
        <v>58</v>
      </c>
      <c r="C182" s="3">
        <v>42897</v>
      </c>
      <c r="D182" t="s">
        <v>22</v>
      </c>
      <c r="E182" t="s">
        <v>634</v>
      </c>
      <c r="F182" s="7">
        <v>14</v>
      </c>
      <c r="H182" t="s">
        <v>28</v>
      </c>
      <c r="I182" t="s">
        <v>94</v>
      </c>
      <c r="J182" t="s">
        <v>83</v>
      </c>
      <c r="K182" t="s">
        <v>84</v>
      </c>
      <c r="L182" t="s">
        <v>59</v>
      </c>
      <c r="M182" t="s">
        <v>95</v>
      </c>
      <c r="N182" t="s">
        <v>28</v>
      </c>
      <c r="O182" s="3"/>
      <c r="Q182" t="s">
        <v>28</v>
      </c>
      <c r="T182" t="s">
        <v>635</v>
      </c>
      <c r="U182" t="s">
        <v>628</v>
      </c>
      <c r="V182" t="str">
        <f>_xlfn.XLOOKUP(U182, Mapping!$A$2:$A$48, Mapping!$B$2:$B$48, "Unknown County")</f>
        <v>Nyanza</v>
      </c>
    </row>
    <row r="183" spans="1:22" x14ac:dyDescent="0.3">
      <c r="A183" t="s">
        <v>636</v>
      </c>
      <c r="B183" t="s">
        <v>135</v>
      </c>
      <c r="C183" s="3">
        <v>43272</v>
      </c>
      <c r="D183" t="s">
        <v>22</v>
      </c>
      <c r="E183" t="s">
        <v>637</v>
      </c>
      <c r="F183" s="7">
        <v>12</v>
      </c>
      <c r="H183" t="s">
        <v>28</v>
      </c>
      <c r="I183" t="s">
        <v>186</v>
      </c>
      <c r="J183" t="s">
        <v>172</v>
      </c>
      <c r="K183" t="s">
        <v>594</v>
      </c>
      <c r="L183" t="s">
        <v>173</v>
      </c>
      <c r="M183" t="s">
        <v>28</v>
      </c>
      <c r="N183" t="s">
        <v>35</v>
      </c>
      <c r="O183" s="3"/>
      <c r="Q183" t="s">
        <v>28</v>
      </c>
      <c r="T183" t="s">
        <v>28</v>
      </c>
      <c r="U183" t="s">
        <v>628</v>
      </c>
      <c r="V183" t="str">
        <f>_xlfn.XLOOKUP(U183, Mapping!$A$2:$A$48, Mapping!$B$2:$B$48, "Unknown County")</f>
        <v>Nyanza</v>
      </c>
    </row>
    <row r="184" spans="1:22" x14ac:dyDescent="0.3">
      <c r="A184" t="s">
        <v>638</v>
      </c>
      <c r="B184" t="s">
        <v>135</v>
      </c>
      <c r="C184" s="3">
        <v>43452</v>
      </c>
      <c r="D184" t="s">
        <v>22</v>
      </c>
      <c r="E184" t="s">
        <v>639</v>
      </c>
      <c r="F184" s="7"/>
      <c r="H184" t="s">
        <v>640</v>
      </c>
      <c r="I184" t="s">
        <v>39</v>
      </c>
      <c r="J184" t="s">
        <v>25</v>
      </c>
      <c r="K184" t="s">
        <v>26</v>
      </c>
      <c r="L184" t="s">
        <v>258</v>
      </c>
      <c r="M184" t="s">
        <v>60</v>
      </c>
      <c r="N184" t="s">
        <v>35</v>
      </c>
      <c r="O184" s="3"/>
      <c r="Q184" t="s">
        <v>28</v>
      </c>
      <c r="T184" t="s">
        <v>641</v>
      </c>
      <c r="U184" t="s">
        <v>628</v>
      </c>
      <c r="V184" t="str">
        <f>_xlfn.XLOOKUP(U184, Mapping!$A$2:$A$48, Mapping!$B$2:$B$48, "Unknown County")</f>
        <v>Nyanza</v>
      </c>
    </row>
    <row r="185" spans="1:22" x14ac:dyDescent="0.3">
      <c r="A185" t="s">
        <v>28</v>
      </c>
      <c r="B185" t="s">
        <v>642</v>
      </c>
      <c r="D185" t="s">
        <v>22</v>
      </c>
      <c r="E185" t="s">
        <v>643</v>
      </c>
      <c r="F185" s="7"/>
      <c r="H185" t="s">
        <v>28</v>
      </c>
      <c r="I185" t="s">
        <v>70</v>
      </c>
      <c r="J185" t="s">
        <v>28</v>
      </c>
      <c r="K185" t="s">
        <v>28</v>
      </c>
      <c r="L185" t="s">
        <v>46</v>
      </c>
      <c r="M185" t="s">
        <v>28</v>
      </c>
      <c r="N185" t="s">
        <v>28</v>
      </c>
      <c r="O185" s="3"/>
      <c r="Q185" t="s">
        <v>28</v>
      </c>
      <c r="T185" t="s">
        <v>644</v>
      </c>
      <c r="U185" t="s">
        <v>628</v>
      </c>
      <c r="V185" t="str">
        <f>_xlfn.XLOOKUP(U185, Mapping!$A$2:$A$48, Mapping!$B$2:$B$48, "Unknown County")</f>
        <v>Nyanza</v>
      </c>
    </row>
    <row r="186" spans="1:22" x14ac:dyDescent="0.3">
      <c r="A186" t="s">
        <v>645</v>
      </c>
      <c r="B186" t="s">
        <v>63</v>
      </c>
      <c r="C186" s="3">
        <v>43932</v>
      </c>
      <c r="D186" t="s">
        <v>22</v>
      </c>
      <c r="E186" t="s">
        <v>646</v>
      </c>
      <c r="F186" s="7">
        <v>29</v>
      </c>
      <c r="H186" t="s">
        <v>647</v>
      </c>
      <c r="I186" t="s">
        <v>186</v>
      </c>
      <c r="J186" t="s">
        <v>83</v>
      </c>
      <c r="K186" t="s">
        <v>26</v>
      </c>
      <c r="L186" t="s">
        <v>40</v>
      </c>
      <c r="M186" t="s">
        <v>95</v>
      </c>
      <c r="N186" t="s">
        <v>35</v>
      </c>
      <c r="O186" s="3"/>
      <c r="Q186" t="s">
        <v>28</v>
      </c>
      <c r="T186" t="s">
        <v>648</v>
      </c>
      <c r="U186" t="s">
        <v>628</v>
      </c>
      <c r="V186" t="str">
        <f>_xlfn.XLOOKUP(U186, Mapping!$A$2:$A$48, Mapping!$B$2:$B$48, "Unknown County")</f>
        <v>Nyanza</v>
      </c>
    </row>
    <row r="187" spans="1:22" x14ac:dyDescent="0.3">
      <c r="A187" t="s">
        <v>649</v>
      </c>
      <c r="B187" t="s">
        <v>135</v>
      </c>
      <c r="D187" t="s">
        <v>22</v>
      </c>
      <c r="E187" t="s">
        <v>28</v>
      </c>
      <c r="F187" s="7"/>
      <c r="H187" t="s">
        <v>28</v>
      </c>
      <c r="I187" t="s">
        <v>28</v>
      </c>
      <c r="J187" t="s">
        <v>650</v>
      </c>
      <c r="K187" t="s">
        <v>71</v>
      </c>
      <c r="L187" t="s">
        <v>40</v>
      </c>
      <c r="M187" t="s">
        <v>28</v>
      </c>
      <c r="N187" t="s">
        <v>28</v>
      </c>
      <c r="O187" s="3"/>
      <c r="Q187" t="s">
        <v>28</v>
      </c>
      <c r="T187" t="s">
        <v>651</v>
      </c>
      <c r="U187" t="s">
        <v>628</v>
      </c>
      <c r="V187" t="str">
        <f>_xlfn.XLOOKUP(U187, Mapping!$A$2:$A$48, Mapping!$B$2:$B$48, "Unknown County")</f>
        <v>Nyanza</v>
      </c>
    </row>
    <row r="188" spans="1:22" x14ac:dyDescent="0.3">
      <c r="A188" t="s">
        <v>652</v>
      </c>
      <c r="B188" t="s">
        <v>58</v>
      </c>
      <c r="C188" s="3">
        <v>44469</v>
      </c>
      <c r="D188" t="s">
        <v>22</v>
      </c>
      <c r="E188" t="s">
        <v>653</v>
      </c>
      <c r="F188" s="7">
        <v>21</v>
      </c>
      <c r="H188" t="s">
        <v>654</v>
      </c>
      <c r="I188" t="s">
        <v>186</v>
      </c>
      <c r="J188" t="s">
        <v>83</v>
      </c>
      <c r="K188" t="s">
        <v>84</v>
      </c>
      <c r="L188" t="s">
        <v>59</v>
      </c>
      <c r="M188" t="s">
        <v>60</v>
      </c>
      <c r="N188" t="s">
        <v>35</v>
      </c>
      <c r="O188" s="3"/>
      <c r="Q188" t="s">
        <v>28</v>
      </c>
      <c r="T188" t="s">
        <v>655</v>
      </c>
      <c r="U188" t="s">
        <v>628</v>
      </c>
      <c r="V188" t="str">
        <f>_xlfn.XLOOKUP(U188, Mapping!$A$2:$A$48, Mapping!$B$2:$B$48, "Unknown County")</f>
        <v>Nyanza</v>
      </c>
    </row>
    <row r="189" spans="1:22" x14ac:dyDescent="0.3">
      <c r="A189" t="s">
        <v>624</v>
      </c>
      <c r="B189" t="s">
        <v>21</v>
      </c>
      <c r="C189" s="3">
        <v>44688</v>
      </c>
      <c r="D189" t="s">
        <v>22</v>
      </c>
      <c r="E189" t="s">
        <v>28</v>
      </c>
      <c r="F189" s="7">
        <v>25</v>
      </c>
      <c r="G189" s="3">
        <v>44687</v>
      </c>
      <c r="H189" t="s">
        <v>656</v>
      </c>
      <c r="I189" t="s">
        <v>39</v>
      </c>
      <c r="J189" t="s">
        <v>25</v>
      </c>
      <c r="K189" t="s">
        <v>26</v>
      </c>
      <c r="L189" t="s">
        <v>40</v>
      </c>
      <c r="M189" t="s">
        <v>60</v>
      </c>
      <c r="N189" t="s">
        <v>35</v>
      </c>
      <c r="O189" s="3"/>
      <c r="Q189" t="s">
        <v>28</v>
      </c>
      <c r="T189" t="s">
        <v>657</v>
      </c>
      <c r="U189" t="s">
        <v>628</v>
      </c>
      <c r="V189" t="str">
        <f>_xlfn.XLOOKUP(U189, Mapping!$A$2:$A$48, Mapping!$B$2:$B$48, "Unknown County")</f>
        <v>Nyanza</v>
      </c>
    </row>
    <row r="190" spans="1:22" x14ac:dyDescent="0.3">
      <c r="A190" t="s">
        <v>658</v>
      </c>
      <c r="B190" t="s">
        <v>63</v>
      </c>
      <c r="C190" s="3">
        <v>44950</v>
      </c>
      <c r="D190" t="s">
        <v>22</v>
      </c>
      <c r="E190" t="s">
        <v>659</v>
      </c>
      <c r="F190" s="7">
        <v>31</v>
      </c>
      <c r="H190" t="s">
        <v>28</v>
      </c>
      <c r="I190" t="s">
        <v>39</v>
      </c>
      <c r="J190" t="s">
        <v>25</v>
      </c>
      <c r="K190" t="s">
        <v>71</v>
      </c>
      <c r="L190" t="s">
        <v>46</v>
      </c>
      <c r="M190" t="s">
        <v>28</v>
      </c>
      <c r="N190" t="s">
        <v>35</v>
      </c>
      <c r="O190" s="3"/>
      <c r="Q190" t="s">
        <v>28</v>
      </c>
      <c r="T190" t="s">
        <v>660</v>
      </c>
      <c r="U190" t="s">
        <v>628</v>
      </c>
      <c r="V190" t="str">
        <f>_xlfn.XLOOKUP(U190, Mapping!$A$2:$A$48, Mapping!$B$2:$B$48, "Unknown County")</f>
        <v>Nyanza</v>
      </c>
    </row>
    <row r="191" spans="1:22" x14ac:dyDescent="0.3">
      <c r="A191" t="s">
        <v>661</v>
      </c>
      <c r="B191" t="s">
        <v>21</v>
      </c>
      <c r="C191" s="3">
        <v>45047</v>
      </c>
      <c r="D191" t="s">
        <v>22</v>
      </c>
      <c r="E191" t="s">
        <v>28</v>
      </c>
      <c r="F191" s="7"/>
      <c r="H191" t="s">
        <v>28</v>
      </c>
      <c r="I191" t="s">
        <v>39</v>
      </c>
      <c r="J191" t="s">
        <v>25</v>
      </c>
      <c r="K191" t="s">
        <v>26</v>
      </c>
      <c r="L191" t="s">
        <v>33</v>
      </c>
      <c r="M191" t="s">
        <v>34</v>
      </c>
      <c r="N191" t="s">
        <v>35</v>
      </c>
      <c r="O191" s="3"/>
      <c r="Q191" t="s">
        <v>28</v>
      </c>
      <c r="T191" t="s">
        <v>662</v>
      </c>
      <c r="U191" t="s">
        <v>628</v>
      </c>
      <c r="V191" t="str">
        <f>_xlfn.XLOOKUP(U191, Mapping!$A$2:$A$48, Mapping!$B$2:$B$48, "Unknown County")</f>
        <v>Nyanza</v>
      </c>
    </row>
    <row r="192" spans="1:22" x14ac:dyDescent="0.3">
      <c r="A192" t="s">
        <v>661</v>
      </c>
      <c r="B192" t="s">
        <v>21</v>
      </c>
      <c r="C192" s="3">
        <v>45070</v>
      </c>
      <c r="D192" t="s">
        <v>22</v>
      </c>
      <c r="E192" t="s">
        <v>663</v>
      </c>
      <c r="F192" s="7"/>
      <c r="G192" s="3">
        <v>45068</v>
      </c>
      <c r="H192" t="s">
        <v>28</v>
      </c>
      <c r="I192" t="s">
        <v>39</v>
      </c>
      <c r="J192" t="s">
        <v>25</v>
      </c>
      <c r="K192" t="s">
        <v>71</v>
      </c>
      <c r="L192" t="s">
        <v>33</v>
      </c>
      <c r="M192" t="s">
        <v>664</v>
      </c>
      <c r="N192" t="s">
        <v>35</v>
      </c>
      <c r="O192" s="3"/>
      <c r="Q192" t="s">
        <v>28</v>
      </c>
      <c r="T192" t="s">
        <v>662</v>
      </c>
      <c r="U192" t="s">
        <v>628</v>
      </c>
      <c r="V192" t="str">
        <f>_xlfn.XLOOKUP(U192, Mapping!$A$2:$A$48, Mapping!$B$2:$B$48, "Unknown County")</f>
        <v>Nyanza</v>
      </c>
    </row>
    <row r="193" spans="1:22" x14ac:dyDescent="0.3">
      <c r="A193" t="s">
        <v>665</v>
      </c>
      <c r="B193" t="s">
        <v>58</v>
      </c>
      <c r="C193" s="3">
        <v>42703</v>
      </c>
      <c r="D193" t="s">
        <v>22</v>
      </c>
      <c r="E193" t="s">
        <v>666</v>
      </c>
      <c r="F193" s="7">
        <v>26</v>
      </c>
      <c r="H193" t="s">
        <v>667</v>
      </c>
      <c r="I193" t="s">
        <v>39</v>
      </c>
      <c r="J193" t="s">
        <v>45</v>
      </c>
      <c r="K193" t="s">
        <v>71</v>
      </c>
      <c r="L193" t="s">
        <v>59</v>
      </c>
      <c r="M193" t="s">
        <v>28</v>
      </c>
      <c r="N193" t="s">
        <v>28</v>
      </c>
      <c r="O193" s="3"/>
      <c r="Q193" t="s">
        <v>28</v>
      </c>
      <c r="T193" t="s">
        <v>668</v>
      </c>
      <c r="U193" t="s">
        <v>628</v>
      </c>
      <c r="V193" t="str">
        <f>_xlfn.XLOOKUP(U193, Mapping!$A$2:$A$48, Mapping!$B$2:$B$48, "Unknown County")</f>
        <v>Nyanza</v>
      </c>
    </row>
    <row r="194" spans="1:22" x14ac:dyDescent="0.3">
      <c r="A194" t="s">
        <v>669</v>
      </c>
      <c r="B194" t="s">
        <v>135</v>
      </c>
      <c r="D194" t="s">
        <v>22</v>
      </c>
      <c r="E194" t="s">
        <v>670</v>
      </c>
      <c r="F194" s="7">
        <v>23</v>
      </c>
      <c r="H194" t="s">
        <v>671</v>
      </c>
      <c r="I194" t="s">
        <v>1585</v>
      </c>
      <c r="J194" t="s">
        <v>25</v>
      </c>
      <c r="K194" t="s">
        <v>71</v>
      </c>
      <c r="L194" t="s">
        <v>59</v>
      </c>
      <c r="M194" t="s">
        <v>28</v>
      </c>
      <c r="N194" t="s">
        <v>28</v>
      </c>
      <c r="O194" s="3"/>
      <c r="P194" s="3">
        <v>44099</v>
      </c>
      <c r="Q194" t="s">
        <v>41</v>
      </c>
      <c r="S194" s="7">
        <v>2507</v>
      </c>
      <c r="T194" t="s">
        <v>672</v>
      </c>
      <c r="U194" t="s">
        <v>673</v>
      </c>
      <c r="V194" t="str">
        <f>_xlfn.XLOOKUP(U194, Mapping!$A$2:$A$48, Mapping!$B$2:$B$48, "Unknown County")</f>
        <v>Eastern</v>
      </c>
    </row>
    <row r="195" spans="1:22" x14ac:dyDescent="0.3">
      <c r="A195" t="s">
        <v>674</v>
      </c>
      <c r="B195" t="s">
        <v>58</v>
      </c>
      <c r="C195" s="3">
        <v>42489</v>
      </c>
      <c r="D195" t="s">
        <v>22</v>
      </c>
      <c r="E195" t="s">
        <v>675</v>
      </c>
      <c r="F195" s="7">
        <v>25</v>
      </c>
      <c r="H195" t="s">
        <v>676</v>
      </c>
      <c r="I195" t="s">
        <v>70</v>
      </c>
      <c r="J195" t="s">
        <v>25</v>
      </c>
      <c r="K195" t="s">
        <v>71</v>
      </c>
      <c r="L195" t="s">
        <v>139</v>
      </c>
      <c r="M195" t="s">
        <v>28</v>
      </c>
      <c r="N195" t="s">
        <v>28</v>
      </c>
      <c r="O195" s="3"/>
      <c r="Q195" t="s">
        <v>28</v>
      </c>
      <c r="T195" t="s">
        <v>673</v>
      </c>
      <c r="U195" t="s">
        <v>673</v>
      </c>
      <c r="V195" t="str">
        <f>_xlfn.XLOOKUP(U195, Mapping!$A$2:$A$48, Mapping!$B$2:$B$48, "Unknown County")</f>
        <v>Eastern</v>
      </c>
    </row>
    <row r="196" spans="1:22" x14ac:dyDescent="0.3">
      <c r="A196" t="s">
        <v>677</v>
      </c>
      <c r="B196" t="s">
        <v>21</v>
      </c>
      <c r="C196" s="3">
        <v>43455</v>
      </c>
      <c r="D196" t="s">
        <v>22</v>
      </c>
      <c r="E196" t="s">
        <v>28</v>
      </c>
      <c r="F196" s="7">
        <v>44</v>
      </c>
      <c r="H196" t="s">
        <v>678</v>
      </c>
      <c r="I196" t="s">
        <v>39</v>
      </c>
      <c r="J196" t="s">
        <v>25</v>
      </c>
      <c r="K196" t="s">
        <v>26</v>
      </c>
      <c r="L196" t="s">
        <v>33</v>
      </c>
      <c r="M196" t="s">
        <v>34</v>
      </c>
      <c r="N196" t="s">
        <v>35</v>
      </c>
      <c r="O196" s="3"/>
      <c r="Q196" t="s">
        <v>28</v>
      </c>
      <c r="T196" t="s">
        <v>679</v>
      </c>
      <c r="U196" t="s">
        <v>673</v>
      </c>
      <c r="V196" t="str">
        <f>_xlfn.XLOOKUP(U196, Mapping!$A$2:$A$48, Mapping!$B$2:$B$48, "Unknown County")</f>
        <v>Eastern</v>
      </c>
    </row>
    <row r="197" spans="1:22" x14ac:dyDescent="0.3">
      <c r="A197" t="s">
        <v>677</v>
      </c>
      <c r="B197" t="s">
        <v>21</v>
      </c>
      <c r="C197" s="3">
        <v>43594</v>
      </c>
      <c r="D197" t="s">
        <v>22</v>
      </c>
      <c r="E197" t="s">
        <v>680</v>
      </c>
      <c r="F197" s="7">
        <v>18</v>
      </c>
      <c r="G197" s="3">
        <v>43592</v>
      </c>
      <c r="H197" t="s">
        <v>681</v>
      </c>
      <c r="I197" t="s">
        <v>39</v>
      </c>
      <c r="J197" t="s">
        <v>25</v>
      </c>
      <c r="K197" t="s">
        <v>26</v>
      </c>
      <c r="L197" t="s">
        <v>33</v>
      </c>
      <c r="M197" t="s">
        <v>34</v>
      </c>
      <c r="N197" t="s">
        <v>35</v>
      </c>
      <c r="O197" s="3"/>
      <c r="Q197" t="s">
        <v>28</v>
      </c>
      <c r="T197" t="s">
        <v>682</v>
      </c>
      <c r="U197" t="s">
        <v>673</v>
      </c>
      <c r="V197" t="str">
        <f>_xlfn.XLOOKUP(U197, Mapping!$A$2:$A$48, Mapping!$B$2:$B$48, "Unknown County")</f>
        <v>Eastern</v>
      </c>
    </row>
    <row r="198" spans="1:22" x14ac:dyDescent="0.3">
      <c r="A198" t="s">
        <v>683</v>
      </c>
      <c r="B198" t="s">
        <v>63</v>
      </c>
      <c r="C198" s="3">
        <v>43840</v>
      </c>
      <c r="D198" t="s">
        <v>22</v>
      </c>
      <c r="E198" t="s">
        <v>684</v>
      </c>
      <c r="F198" s="7"/>
      <c r="H198" t="s">
        <v>685</v>
      </c>
      <c r="I198" t="s">
        <v>39</v>
      </c>
      <c r="J198" t="s">
        <v>25</v>
      </c>
      <c r="K198" t="s">
        <v>26</v>
      </c>
      <c r="L198" t="s">
        <v>33</v>
      </c>
      <c r="M198" t="s">
        <v>60</v>
      </c>
      <c r="N198" t="s">
        <v>35</v>
      </c>
      <c r="O198" s="3"/>
      <c r="Q198" t="s">
        <v>28</v>
      </c>
      <c r="T198" t="s">
        <v>686</v>
      </c>
      <c r="U198" t="s">
        <v>673</v>
      </c>
      <c r="V198" t="str">
        <f>_xlfn.XLOOKUP(U198, Mapping!$A$2:$A$48, Mapping!$B$2:$B$48, "Unknown County")</f>
        <v>Eastern</v>
      </c>
    </row>
    <row r="199" spans="1:22" x14ac:dyDescent="0.3">
      <c r="A199" t="s">
        <v>677</v>
      </c>
      <c r="B199" t="s">
        <v>21</v>
      </c>
      <c r="C199" s="3">
        <v>44299</v>
      </c>
      <c r="D199" t="s">
        <v>22</v>
      </c>
      <c r="E199" t="s">
        <v>687</v>
      </c>
      <c r="F199" s="7">
        <v>19</v>
      </c>
      <c r="H199" t="s">
        <v>688</v>
      </c>
      <c r="I199" t="s">
        <v>70</v>
      </c>
      <c r="J199" t="s">
        <v>25</v>
      </c>
      <c r="K199" t="s">
        <v>26</v>
      </c>
      <c r="L199" t="s">
        <v>59</v>
      </c>
      <c r="M199" t="s">
        <v>225</v>
      </c>
      <c r="N199" t="s">
        <v>35</v>
      </c>
      <c r="O199" s="3"/>
      <c r="Q199" t="s">
        <v>28</v>
      </c>
      <c r="T199" t="s">
        <v>689</v>
      </c>
      <c r="U199" t="s">
        <v>673</v>
      </c>
      <c r="V199" t="str">
        <f>_xlfn.XLOOKUP(U199, Mapping!$A$2:$A$48, Mapping!$B$2:$B$48, "Unknown County")</f>
        <v>Eastern</v>
      </c>
    </row>
    <row r="200" spans="1:22" x14ac:dyDescent="0.3">
      <c r="A200" t="s">
        <v>690</v>
      </c>
      <c r="B200" t="s">
        <v>58</v>
      </c>
      <c r="C200" s="3">
        <v>44337</v>
      </c>
      <c r="D200" t="s">
        <v>22</v>
      </c>
      <c r="E200" t="s">
        <v>691</v>
      </c>
      <c r="F200" s="7">
        <v>30</v>
      </c>
      <c r="G200" s="3">
        <v>44334</v>
      </c>
      <c r="H200" t="s">
        <v>692</v>
      </c>
      <c r="I200" t="s">
        <v>70</v>
      </c>
      <c r="J200" t="s">
        <v>25</v>
      </c>
      <c r="K200" t="s">
        <v>26</v>
      </c>
      <c r="L200" t="s">
        <v>46</v>
      </c>
      <c r="M200" t="s">
        <v>34</v>
      </c>
      <c r="N200" t="s">
        <v>35</v>
      </c>
      <c r="O200" s="3"/>
      <c r="Q200" t="s">
        <v>28</v>
      </c>
      <c r="T200" t="s">
        <v>693</v>
      </c>
      <c r="U200" t="s">
        <v>673</v>
      </c>
      <c r="V200" t="str">
        <f>_xlfn.XLOOKUP(U200, Mapping!$A$2:$A$48, Mapping!$B$2:$B$48, "Unknown County")</f>
        <v>Eastern</v>
      </c>
    </row>
    <row r="201" spans="1:22" x14ac:dyDescent="0.3">
      <c r="A201" t="s">
        <v>694</v>
      </c>
      <c r="B201" t="s">
        <v>339</v>
      </c>
      <c r="C201" s="3">
        <v>45009</v>
      </c>
      <c r="D201" t="s">
        <v>22</v>
      </c>
      <c r="E201" t="s">
        <v>28</v>
      </c>
      <c r="F201" s="7">
        <v>39</v>
      </c>
      <c r="H201" t="s">
        <v>28</v>
      </c>
      <c r="I201" t="s">
        <v>39</v>
      </c>
      <c r="J201" t="s">
        <v>25</v>
      </c>
      <c r="K201" t="s">
        <v>71</v>
      </c>
      <c r="L201" t="s">
        <v>85</v>
      </c>
      <c r="M201" t="s">
        <v>28</v>
      </c>
      <c r="N201" t="s">
        <v>35</v>
      </c>
      <c r="O201" s="3"/>
      <c r="Q201" t="s">
        <v>28</v>
      </c>
      <c r="T201" t="s">
        <v>695</v>
      </c>
      <c r="U201" t="s">
        <v>673</v>
      </c>
      <c r="V201" t="str">
        <f>_xlfn.XLOOKUP(U201, Mapping!$A$2:$A$48, Mapping!$B$2:$B$48, "Unknown County")</f>
        <v>Eastern</v>
      </c>
    </row>
    <row r="202" spans="1:22" x14ac:dyDescent="0.3">
      <c r="A202" t="s">
        <v>696</v>
      </c>
      <c r="B202" t="s">
        <v>21</v>
      </c>
      <c r="C202" s="3">
        <v>45156</v>
      </c>
      <c r="D202" t="s">
        <v>22</v>
      </c>
      <c r="E202" t="s">
        <v>697</v>
      </c>
      <c r="F202" s="7"/>
      <c r="H202" t="s">
        <v>698</v>
      </c>
      <c r="I202" t="s">
        <v>70</v>
      </c>
      <c r="J202" t="s">
        <v>88</v>
      </c>
      <c r="K202" t="s">
        <v>71</v>
      </c>
      <c r="L202" t="s">
        <v>33</v>
      </c>
      <c r="M202" t="s">
        <v>699</v>
      </c>
      <c r="N202" t="s">
        <v>700</v>
      </c>
      <c r="O202" s="3"/>
      <c r="Q202" t="s">
        <v>28</v>
      </c>
      <c r="T202" t="s">
        <v>701</v>
      </c>
      <c r="U202" t="s">
        <v>673</v>
      </c>
      <c r="V202" t="str">
        <f>_xlfn.XLOOKUP(U202, Mapping!$A$2:$A$48, Mapping!$B$2:$B$48, "Unknown County")</f>
        <v>Eastern</v>
      </c>
    </row>
    <row r="203" spans="1:22" x14ac:dyDescent="0.3">
      <c r="A203" t="s">
        <v>126</v>
      </c>
      <c r="B203" t="s">
        <v>21</v>
      </c>
      <c r="C203" s="3">
        <v>43950</v>
      </c>
      <c r="D203" t="s">
        <v>22</v>
      </c>
      <c r="E203" t="s">
        <v>702</v>
      </c>
      <c r="F203" s="7"/>
      <c r="H203" t="s">
        <v>703</v>
      </c>
      <c r="I203" t="s">
        <v>39</v>
      </c>
      <c r="J203" t="s">
        <v>25</v>
      </c>
      <c r="K203" t="s">
        <v>26</v>
      </c>
      <c r="L203" t="s">
        <v>59</v>
      </c>
      <c r="M203" t="s">
        <v>60</v>
      </c>
      <c r="N203" t="s">
        <v>28</v>
      </c>
      <c r="O203" s="3"/>
      <c r="P203" s="3">
        <v>43950</v>
      </c>
      <c r="Q203" t="s">
        <v>29</v>
      </c>
      <c r="R203" s="7">
        <v>20</v>
      </c>
      <c r="S203" s="7">
        <v>3130</v>
      </c>
      <c r="T203" t="s">
        <v>704</v>
      </c>
      <c r="U203" t="s">
        <v>705</v>
      </c>
      <c r="V203" t="str">
        <f>_xlfn.XLOOKUP(U203, Mapping!$A$2:$A$48, Mapping!$B$2:$B$48, "Unknown County")</f>
        <v>Coast</v>
      </c>
    </row>
    <row r="204" spans="1:22" x14ac:dyDescent="0.3">
      <c r="A204" t="s">
        <v>706</v>
      </c>
      <c r="B204" t="s">
        <v>63</v>
      </c>
      <c r="C204" s="3">
        <v>43118</v>
      </c>
      <c r="D204" t="s">
        <v>22</v>
      </c>
      <c r="E204" t="s">
        <v>28</v>
      </c>
      <c r="F204" s="7"/>
      <c r="H204" t="s">
        <v>707</v>
      </c>
      <c r="I204" t="s">
        <v>39</v>
      </c>
      <c r="J204" t="s">
        <v>25</v>
      </c>
      <c r="K204" t="s">
        <v>26</v>
      </c>
      <c r="L204" t="s">
        <v>33</v>
      </c>
      <c r="M204" t="s">
        <v>34</v>
      </c>
      <c r="N204" t="s">
        <v>35</v>
      </c>
      <c r="O204" s="3"/>
      <c r="Q204" t="s">
        <v>28</v>
      </c>
      <c r="T204" t="s">
        <v>708</v>
      </c>
      <c r="U204" t="s">
        <v>705</v>
      </c>
      <c r="V204" t="str">
        <f>_xlfn.XLOOKUP(U204, Mapping!$A$2:$A$48, Mapping!$B$2:$B$48, "Unknown County")</f>
        <v>Coast</v>
      </c>
    </row>
    <row r="205" spans="1:22" x14ac:dyDescent="0.3">
      <c r="A205" t="s">
        <v>28</v>
      </c>
      <c r="B205" t="s">
        <v>21</v>
      </c>
      <c r="D205" t="s">
        <v>22</v>
      </c>
      <c r="E205" t="s">
        <v>709</v>
      </c>
      <c r="F205" s="7">
        <v>22</v>
      </c>
      <c r="H205" t="s">
        <v>28</v>
      </c>
      <c r="I205" t="s">
        <v>39</v>
      </c>
      <c r="J205" t="s">
        <v>28</v>
      </c>
      <c r="K205" t="s">
        <v>28</v>
      </c>
      <c r="L205" t="s">
        <v>46</v>
      </c>
      <c r="M205" t="s">
        <v>28</v>
      </c>
      <c r="N205" t="s">
        <v>28</v>
      </c>
      <c r="O205" s="3"/>
      <c r="Q205" t="s">
        <v>28</v>
      </c>
      <c r="T205" t="s">
        <v>710</v>
      </c>
      <c r="U205" t="s">
        <v>705</v>
      </c>
      <c r="V205" t="str">
        <f>_xlfn.XLOOKUP(U205, Mapping!$A$2:$A$48, Mapping!$B$2:$B$48, "Unknown County")</f>
        <v>Coast</v>
      </c>
    </row>
    <row r="206" spans="1:22" x14ac:dyDescent="0.3">
      <c r="A206" t="s">
        <v>711</v>
      </c>
      <c r="B206" t="s">
        <v>21</v>
      </c>
      <c r="C206" s="3">
        <v>44171</v>
      </c>
      <c r="D206" t="s">
        <v>22</v>
      </c>
      <c r="E206" t="s">
        <v>712</v>
      </c>
      <c r="F206" s="7"/>
      <c r="H206" t="s">
        <v>713</v>
      </c>
      <c r="I206" t="s">
        <v>39</v>
      </c>
      <c r="J206" t="s">
        <v>25</v>
      </c>
      <c r="K206" t="s">
        <v>26</v>
      </c>
      <c r="L206" t="s">
        <v>139</v>
      </c>
      <c r="M206" t="s">
        <v>34</v>
      </c>
      <c r="N206" t="s">
        <v>140</v>
      </c>
      <c r="O206" s="3"/>
      <c r="Q206" t="s">
        <v>28</v>
      </c>
      <c r="T206" t="s">
        <v>714</v>
      </c>
      <c r="U206" t="s">
        <v>705</v>
      </c>
      <c r="V206" t="str">
        <f>_xlfn.XLOOKUP(U206, Mapping!$A$2:$A$48, Mapping!$B$2:$B$48, "Unknown County")</f>
        <v>Coast</v>
      </c>
    </row>
    <row r="207" spans="1:22" x14ac:dyDescent="0.3">
      <c r="A207" t="s">
        <v>715</v>
      </c>
      <c r="B207" t="s">
        <v>21</v>
      </c>
      <c r="C207" s="3">
        <v>43202</v>
      </c>
      <c r="D207" t="s">
        <v>22</v>
      </c>
      <c r="E207" t="s">
        <v>716</v>
      </c>
      <c r="F207" s="7"/>
      <c r="H207" t="s">
        <v>717</v>
      </c>
      <c r="I207" t="s">
        <v>39</v>
      </c>
      <c r="J207" t="s">
        <v>25</v>
      </c>
      <c r="K207" t="s">
        <v>26</v>
      </c>
      <c r="L207" t="s">
        <v>72</v>
      </c>
      <c r="M207" t="s">
        <v>542</v>
      </c>
      <c r="N207" t="s">
        <v>28</v>
      </c>
      <c r="O207" s="3">
        <v>43130</v>
      </c>
      <c r="P207" s="3">
        <v>43202</v>
      </c>
      <c r="Q207" t="s">
        <v>29</v>
      </c>
      <c r="R207" s="7">
        <v>20</v>
      </c>
      <c r="S207" s="7">
        <v>853</v>
      </c>
      <c r="T207" t="s">
        <v>718</v>
      </c>
      <c r="U207" t="s">
        <v>719</v>
      </c>
      <c r="V207" t="str">
        <f>_xlfn.XLOOKUP(U207, Mapping!$A$2:$A$48, Mapping!$B$2:$B$48, "Unknown County")</f>
        <v>Rift Valley</v>
      </c>
    </row>
    <row r="208" spans="1:22" x14ac:dyDescent="0.3">
      <c r="A208" t="s">
        <v>720</v>
      </c>
      <c r="B208" t="s">
        <v>63</v>
      </c>
      <c r="C208" s="3">
        <v>42647</v>
      </c>
      <c r="D208" t="s">
        <v>22</v>
      </c>
      <c r="E208" t="s">
        <v>721</v>
      </c>
      <c r="F208" s="7">
        <v>22</v>
      </c>
      <c r="H208" t="s">
        <v>28</v>
      </c>
      <c r="I208" t="s">
        <v>70</v>
      </c>
      <c r="J208" t="s">
        <v>25</v>
      </c>
      <c r="K208" t="s">
        <v>26</v>
      </c>
      <c r="L208" t="s">
        <v>40</v>
      </c>
      <c r="M208" t="s">
        <v>60</v>
      </c>
      <c r="N208" t="s">
        <v>35</v>
      </c>
      <c r="O208" s="3"/>
      <c r="Q208" t="s">
        <v>28</v>
      </c>
      <c r="T208" t="s">
        <v>722</v>
      </c>
      <c r="U208" t="s">
        <v>719</v>
      </c>
      <c r="V208" t="str">
        <f>_xlfn.XLOOKUP(U208, Mapping!$A$2:$A$48, Mapping!$B$2:$B$48, "Unknown County")</f>
        <v>Rift Valley</v>
      </c>
    </row>
    <row r="209" spans="1:22" x14ac:dyDescent="0.3">
      <c r="A209" t="s">
        <v>723</v>
      </c>
      <c r="B209" t="s">
        <v>135</v>
      </c>
      <c r="C209" s="3">
        <v>43164</v>
      </c>
      <c r="D209" t="s">
        <v>22</v>
      </c>
      <c r="E209" t="s">
        <v>724</v>
      </c>
      <c r="F209" s="7">
        <v>24</v>
      </c>
      <c r="H209" t="s">
        <v>725</v>
      </c>
      <c r="I209" t="s">
        <v>82</v>
      </c>
      <c r="J209" t="s">
        <v>172</v>
      </c>
      <c r="K209" t="s">
        <v>594</v>
      </c>
      <c r="L209" t="s">
        <v>258</v>
      </c>
      <c r="M209" t="s">
        <v>373</v>
      </c>
      <c r="N209" t="s">
        <v>35</v>
      </c>
      <c r="O209" s="3"/>
      <c r="Q209" t="s">
        <v>28</v>
      </c>
      <c r="T209" t="s">
        <v>726</v>
      </c>
      <c r="U209" t="s">
        <v>719</v>
      </c>
      <c r="V209" t="str">
        <f>_xlfn.XLOOKUP(U209, Mapping!$A$2:$A$48, Mapping!$B$2:$B$48, "Unknown County")</f>
        <v>Rift Valley</v>
      </c>
    </row>
    <row r="210" spans="1:22" x14ac:dyDescent="0.3">
      <c r="A210" t="s">
        <v>28</v>
      </c>
      <c r="B210" t="s">
        <v>47</v>
      </c>
      <c r="D210" t="s">
        <v>22</v>
      </c>
      <c r="E210" t="s">
        <v>727</v>
      </c>
      <c r="F210" s="7">
        <v>28</v>
      </c>
      <c r="H210" t="s">
        <v>28</v>
      </c>
      <c r="I210" t="s">
        <v>39</v>
      </c>
      <c r="J210" t="s">
        <v>28</v>
      </c>
      <c r="K210" t="s">
        <v>28</v>
      </c>
      <c r="L210" t="s">
        <v>46</v>
      </c>
      <c r="M210" t="s">
        <v>28</v>
      </c>
      <c r="N210" t="s">
        <v>28</v>
      </c>
      <c r="O210" s="3"/>
      <c r="Q210" t="s">
        <v>28</v>
      </c>
      <c r="T210" t="s">
        <v>728</v>
      </c>
      <c r="U210" t="s">
        <v>719</v>
      </c>
      <c r="V210" t="str">
        <f>_xlfn.XLOOKUP(U210, Mapping!$A$2:$A$48, Mapping!$B$2:$B$48, "Unknown County")</f>
        <v>Rift Valley</v>
      </c>
    </row>
    <row r="211" spans="1:22" x14ac:dyDescent="0.3">
      <c r="A211" t="s">
        <v>729</v>
      </c>
      <c r="B211" t="s">
        <v>63</v>
      </c>
      <c r="C211" s="3">
        <v>43785</v>
      </c>
      <c r="D211" t="s">
        <v>22</v>
      </c>
      <c r="E211" t="s">
        <v>730</v>
      </c>
      <c r="F211" s="7">
        <v>34</v>
      </c>
      <c r="H211" t="s">
        <v>731</v>
      </c>
      <c r="I211" t="s">
        <v>1584</v>
      </c>
      <c r="J211" t="s">
        <v>25</v>
      </c>
      <c r="K211" t="s">
        <v>26</v>
      </c>
      <c r="L211" t="s">
        <v>165</v>
      </c>
      <c r="M211" t="s">
        <v>60</v>
      </c>
      <c r="N211" t="s">
        <v>1384</v>
      </c>
      <c r="O211" s="3">
        <v>43787</v>
      </c>
      <c r="Q211" t="s">
        <v>28</v>
      </c>
      <c r="T211" t="s">
        <v>732</v>
      </c>
      <c r="U211" t="s">
        <v>719</v>
      </c>
      <c r="V211" t="str">
        <f>_xlfn.XLOOKUP(U211, Mapping!$A$2:$A$48, Mapping!$B$2:$B$48, "Unknown County")</f>
        <v>Rift Valley</v>
      </c>
    </row>
    <row r="212" spans="1:22" x14ac:dyDescent="0.3">
      <c r="A212" t="s">
        <v>733</v>
      </c>
      <c r="B212" t="s">
        <v>21</v>
      </c>
      <c r="C212" s="3">
        <v>43852</v>
      </c>
      <c r="D212" t="s">
        <v>22</v>
      </c>
      <c r="E212" t="s">
        <v>734</v>
      </c>
      <c r="F212" s="7">
        <v>93</v>
      </c>
      <c r="H212" t="s">
        <v>735</v>
      </c>
      <c r="I212" t="s">
        <v>82</v>
      </c>
      <c r="J212" t="s">
        <v>28</v>
      </c>
      <c r="K212" t="s">
        <v>26</v>
      </c>
      <c r="L212" t="s">
        <v>40</v>
      </c>
      <c r="M212" t="s">
        <v>28</v>
      </c>
      <c r="N212" t="s">
        <v>35</v>
      </c>
      <c r="O212" s="3"/>
      <c r="Q212" t="s">
        <v>28</v>
      </c>
      <c r="T212" t="s">
        <v>736</v>
      </c>
      <c r="U212" t="s">
        <v>719</v>
      </c>
      <c r="V212" t="str">
        <f>_xlfn.XLOOKUP(U212, Mapping!$A$2:$A$48, Mapping!$B$2:$B$48, "Unknown County")</f>
        <v>Rift Valley</v>
      </c>
    </row>
    <row r="213" spans="1:22" x14ac:dyDescent="0.3">
      <c r="A213" t="s">
        <v>737</v>
      </c>
      <c r="B213" t="s">
        <v>63</v>
      </c>
      <c r="C213" s="3">
        <v>43385</v>
      </c>
      <c r="D213" t="s">
        <v>22</v>
      </c>
      <c r="E213" t="s">
        <v>738</v>
      </c>
      <c r="F213" s="7">
        <v>34</v>
      </c>
      <c r="H213" t="s">
        <v>739</v>
      </c>
      <c r="I213" t="s">
        <v>39</v>
      </c>
      <c r="J213" t="s">
        <v>25</v>
      </c>
      <c r="K213" t="s">
        <v>26</v>
      </c>
      <c r="L213" t="s">
        <v>165</v>
      </c>
      <c r="M213" t="s">
        <v>34</v>
      </c>
      <c r="N213" t="s">
        <v>35</v>
      </c>
      <c r="O213" s="3"/>
      <c r="Q213" t="s">
        <v>28</v>
      </c>
      <c r="T213" t="s">
        <v>740</v>
      </c>
      <c r="U213" t="s">
        <v>741</v>
      </c>
      <c r="V213" t="str">
        <f>_xlfn.XLOOKUP(U213, Mapping!$A$2:$A$48, Mapping!$B$2:$B$48, "Unknown County")</f>
        <v>Coast</v>
      </c>
    </row>
    <row r="214" spans="1:22" x14ac:dyDescent="0.3">
      <c r="A214" t="s">
        <v>742</v>
      </c>
      <c r="B214" t="s">
        <v>21</v>
      </c>
      <c r="C214" s="3">
        <v>44247</v>
      </c>
      <c r="D214" t="s">
        <v>22</v>
      </c>
      <c r="E214" t="s">
        <v>743</v>
      </c>
      <c r="F214" s="7"/>
      <c r="H214" t="s">
        <v>744</v>
      </c>
      <c r="I214" t="s">
        <v>1584</v>
      </c>
      <c r="J214" t="s">
        <v>25</v>
      </c>
      <c r="K214" t="s">
        <v>84</v>
      </c>
      <c r="L214" t="s">
        <v>59</v>
      </c>
      <c r="M214" t="s">
        <v>34</v>
      </c>
      <c r="N214" t="s">
        <v>28</v>
      </c>
      <c r="O214" s="3"/>
      <c r="P214" s="3">
        <v>44244</v>
      </c>
      <c r="Q214" t="s">
        <v>745</v>
      </c>
      <c r="R214" s="7">
        <v>0</v>
      </c>
      <c r="S214" s="7">
        <v>2976</v>
      </c>
      <c r="T214" t="s">
        <v>746</v>
      </c>
      <c r="U214" t="s">
        <v>747</v>
      </c>
      <c r="V214" t="str">
        <f>_xlfn.XLOOKUP(U214, Mapping!$A$2:$A$48, Mapping!$B$2:$B$48, "Unknown County")</f>
        <v>Eastern</v>
      </c>
    </row>
    <row r="215" spans="1:22" x14ac:dyDescent="0.3">
      <c r="A215" t="s">
        <v>748</v>
      </c>
      <c r="B215" t="s">
        <v>21</v>
      </c>
      <c r="C215" s="3">
        <v>42846</v>
      </c>
      <c r="D215" t="s">
        <v>22</v>
      </c>
      <c r="E215" t="s">
        <v>749</v>
      </c>
      <c r="F215" s="7"/>
      <c r="H215" t="s">
        <v>28</v>
      </c>
      <c r="I215" t="s">
        <v>82</v>
      </c>
      <c r="J215" t="s">
        <v>28</v>
      </c>
      <c r="K215" t="s">
        <v>84</v>
      </c>
      <c r="L215" t="s">
        <v>40</v>
      </c>
      <c r="M215" t="s">
        <v>183</v>
      </c>
      <c r="N215" t="s">
        <v>35</v>
      </c>
      <c r="O215" s="3"/>
      <c r="Q215" t="s">
        <v>28</v>
      </c>
      <c r="T215" t="s">
        <v>750</v>
      </c>
      <c r="U215" t="s">
        <v>747</v>
      </c>
      <c r="V215" t="str">
        <f>_xlfn.XLOOKUP(U215, Mapping!$A$2:$A$48, Mapping!$B$2:$B$48, "Unknown County")</f>
        <v>Eastern</v>
      </c>
    </row>
    <row r="216" spans="1:22" x14ac:dyDescent="0.3">
      <c r="A216" t="s">
        <v>748</v>
      </c>
      <c r="B216" t="s">
        <v>21</v>
      </c>
      <c r="C216" s="3">
        <v>43832</v>
      </c>
      <c r="D216" t="s">
        <v>22</v>
      </c>
      <c r="E216" t="s">
        <v>28</v>
      </c>
      <c r="F216" s="7"/>
      <c r="H216" t="s">
        <v>28</v>
      </c>
      <c r="I216" t="s">
        <v>82</v>
      </c>
      <c r="J216" t="s">
        <v>28</v>
      </c>
      <c r="K216" t="s">
        <v>84</v>
      </c>
      <c r="L216" t="s">
        <v>165</v>
      </c>
      <c r="M216" t="s">
        <v>28</v>
      </c>
      <c r="N216" t="s">
        <v>35</v>
      </c>
      <c r="O216" s="3"/>
      <c r="Q216" t="s">
        <v>28</v>
      </c>
      <c r="T216" t="s">
        <v>751</v>
      </c>
      <c r="U216" t="s">
        <v>747</v>
      </c>
      <c r="V216" t="str">
        <f>_xlfn.XLOOKUP(U216, Mapping!$A$2:$A$48, Mapping!$B$2:$B$48, "Unknown County")</f>
        <v>Eastern</v>
      </c>
    </row>
    <row r="217" spans="1:22" x14ac:dyDescent="0.3">
      <c r="A217" t="s">
        <v>752</v>
      </c>
      <c r="B217" t="s">
        <v>21</v>
      </c>
      <c r="C217" s="3">
        <v>43909</v>
      </c>
      <c r="D217" t="s">
        <v>22</v>
      </c>
      <c r="E217" t="s">
        <v>753</v>
      </c>
      <c r="F217" s="7">
        <v>35</v>
      </c>
      <c r="H217" t="s">
        <v>754</v>
      </c>
      <c r="I217" t="s">
        <v>1585</v>
      </c>
      <c r="J217" t="s">
        <v>25</v>
      </c>
      <c r="K217" t="s">
        <v>26</v>
      </c>
      <c r="L217" t="s">
        <v>165</v>
      </c>
      <c r="M217" t="s">
        <v>34</v>
      </c>
      <c r="N217" t="s">
        <v>140</v>
      </c>
      <c r="O217" s="3"/>
      <c r="Q217" t="s">
        <v>28</v>
      </c>
      <c r="T217" t="s">
        <v>755</v>
      </c>
      <c r="U217" t="s">
        <v>747</v>
      </c>
      <c r="V217" t="str">
        <f>_xlfn.XLOOKUP(U217, Mapping!$A$2:$A$48, Mapping!$B$2:$B$48, "Unknown County")</f>
        <v>Eastern</v>
      </c>
    </row>
    <row r="218" spans="1:22" x14ac:dyDescent="0.3">
      <c r="A218" t="s">
        <v>752</v>
      </c>
      <c r="B218" t="s">
        <v>21</v>
      </c>
      <c r="C218" s="3">
        <v>43960</v>
      </c>
      <c r="D218" t="s">
        <v>22</v>
      </c>
      <c r="E218" t="s">
        <v>28</v>
      </c>
      <c r="F218" s="7"/>
      <c r="G218" s="3">
        <v>43953</v>
      </c>
      <c r="H218" t="s">
        <v>28</v>
      </c>
      <c r="I218" t="s">
        <v>39</v>
      </c>
      <c r="J218" t="s">
        <v>25</v>
      </c>
      <c r="K218" t="s">
        <v>26</v>
      </c>
      <c r="L218" t="s">
        <v>59</v>
      </c>
      <c r="M218" t="s">
        <v>34</v>
      </c>
      <c r="N218" t="s">
        <v>35</v>
      </c>
      <c r="O218" s="3"/>
      <c r="Q218" t="s">
        <v>28</v>
      </c>
      <c r="T218" t="s">
        <v>756</v>
      </c>
      <c r="U218" t="s">
        <v>747</v>
      </c>
      <c r="V218" t="str">
        <f>_xlfn.XLOOKUP(U218, Mapping!$A$2:$A$48, Mapping!$B$2:$B$48, "Unknown County")</f>
        <v>Eastern</v>
      </c>
    </row>
    <row r="219" spans="1:22" x14ac:dyDescent="0.3">
      <c r="A219" t="s">
        <v>748</v>
      </c>
      <c r="B219" t="s">
        <v>21</v>
      </c>
      <c r="C219" s="3">
        <v>44221</v>
      </c>
      <c r="D219" t="s">
        <v>22</v>
      </c>
      <c r="E219" t="s">
        <v>757</v>
      </c>
      <c r="F219" s="7"/>
      <c r="H219" t="s">
        <v>758</v>
      </c>
      <c r="I219" t="s">
        <v>82</v>
      </c>
      <c r="J219" t="s">
        <v>28</v>
      </c>
      <c r="K219" t="s">
        <v>26</v>
      </c>
      <c r="L219" t="s">
        <v>165</v>
      </c>
      <c r="M219" t="s">
        <v>28</v>
      </c>
      <c r="N219" t="s">
        <v>1384</v>
      </c>
      <c r="O219" s="3">
        <v>44257</v>
      </c>
      <c r="Q219" t="s">
        <v>28</v>
      </c>
      <c r="T219" t="s">
        <v>759</v>
      </c>
      <c r="U219" t="s">
        <v>747</v>
      </c>
      <c r="V219" t="str">
        <f>_xlfn.XLOOKUP(U219, Mapping!$A$2:$A$48, Mapping!$B$2:$B$48, "Unknown County")</f>
        <v>Eastern</v>
      </c>
    </row>
    <row r="220" spans="1:22" x14ac:dyDescent="0.3">
      <c r="A220" t="s">
        <v>748</v>
      </c>
      <c r="B220" t="s">
        <v>21</v>
      </c>
      <c r="C220" s="3">
        <v>44238</v>
      </c>
      <c r="D220" t="s">
        <v>22</v>
      </c>
      <c r="E220" t="s">
        <v>28</v>
      </c>
      <c r="F220" s="7"/>
      <c r="H220" t="s">
        <v>669</v>
      </c>
      <c r="I220" t="s">
        <v>70</v>
      </c>
      <c r="J220" t="s">
        <v>25</v>
      </c>
      <c r="K220" t="s">
        <v>26</v>
      </c>
      <c r="L220" t="s">
        <v>165</v>
      </c>
      <c r="M220" t="s">
        <v>542</v>
      </c>
      <c r="N220" t="s">
        <v>35</v>
      </c>
      <c r="O220" s="3"/>
      <c r="Q220" t="s">
        <v>28</v>
      </c>
      <c r="T220" t="s">
        <v>760</v>
      </c>
      <c r="U220" t="s">
        <v>747</v>
      </c>
      <c r="V220" t="str">
        <f>_xlfn.XLOOKUP(U220, Mapping!$A$2:$A$48, Mapping!$B$2:$B$48, "Unknown County")</f>
        <v>Eastern</v>
      </c>
    </row>
    <row r="221" spans="1:22" x14ac:dyDescent="0.3">
      <c r="A221" t="s">
        <v>748</v>
      </c>
      <c r="B221" t="s">
        <v>21</v>
      </c>
      <c r="C221" s="3">
        <v>44537</v>
      </c>
      <c r="D221" t="s">
        <v>22</v>
      </c>
      <c r="E221" t="s">
        <v>761</v>
      </c>
      <c r="F221" s="7">
        <v>25</v>
      </c>
      <c r="H221" t="s">
        <v>762</v>
      </c>
      <c r="I221" t="s">
        <v>39</v>
      </c>
      <c r="J221" t="s">
        <v>28</v>
      </c>
      <c r="K221" t="s">
        <v>26</v>
      </c>
      <c r="L221" t="s">
        <v>165</v>
      </c>
      <c r="M221" t="s">
        <v>28</v>
      </c>
      <c r="N221" t="s">
        <v>28</v>
      </c>
      <c r="O221" s="3"/>
      <c r="Q221" t="s">
        <v>28</v>
      </c>
      <c r="T221" t="s">
        <v>763</v>
      </c>
      <c r="U221" t="s">
        <v>747</v>
      </c>
      <c r="V221" t="str">
        <f>_xlfn.XLOOKUP(U221, Mapping!$A$2:$A$48, Mapping!$B$2:$B$48, "Unknown County")</f>
        <v>Eastern</v>
      </c>
    </row>
    <row r="222" spans="1:22" x14ac:dyDescent="0.3">
      <c r="A222" t="s">
        <v>764</v>
      </c>
      <c r="B222" t="s">
        <v>339</v>
      </c>
      <c r="C222" s="3">
        <v>44651</v>
      </c>
      <c r="D222" t="s">
        <v>22</v>
      </c>
      <c r="E222" t="s">
        <v>765</v>
      </c>
      <c r="F222" s="7">
        <v>35</v>
      </c>
      <c r="H222" t="s">
        <v>766</v>
      </c>
      <c r="I222" t="s">
        <v>39</v>
      </c>
      <c r="J222" t="s">
        <v>28</v>
      </c>
      <c r="K222" t="s">
        <v>71</v>
      </c>
      <c r="L222" t="s">
        <v>33</v>
      </c>
      <c r="M222" t="s">
        <v>28</v>
      </c>
      <c r="N222" t="s">
        <v>28</v>
      </c>
      <c r="O222" s="3"/>
      <c r="Q222" t="s">
        <v>28</v>
      </c>
      <c r="T222" t="s">
        <v>767</v>
      </c>
      <c r="U222" t="s">
        <v>747</v>
      </c>
      <c r="V222" t="str">
        <f>_xlfn.XLOOKUP(U222, Mapping!$A$2:$A$48, Mapping!$B$2:$B$48, "Unknown County")</f>
        <v>Eastern</v>
      </c>
    </row>
    <row r="223" spans="1:22" x14ac:dyDescent="0.3">
      <c r="A223" t="s">
        <v>28</v>
      </c>
      <c r="B223" t="s">
        <v>21</v>
      </c>
      <c r="C223" s="3">
        <v>44649</v>
      </c>
      <c r="D223" t="s">
        <v>22</v>
      </c>
      <c r="E223" t="s">
        <v>768</v>
      </c>
      <c r="F223" s="7">
        <v>21</v>
      </c>
      <c r="H223" t="s">
        <v>769</v>
      </c>
      <c r="I223" t="s">
        <v>70</v>
      </c>
      <c r="J223" t="s">
        <v>28</v>
      </c>
      <c r="K223" t="s">
        <v>480</v>
      </c>
      <c r="L223" t="s">
        <v>27</v>
      </c>
      <c r="M223" t="s">
        <v>28</v>
      </c>
      <c r="N223" t="s">
        <v>28</v>
      </c>
      <c r="O223" s="3"/>
      <c r="Q223" t="s">
        <v>28</v>
      </c>
      <c r="T223" t="s">
        <v>770</v>
      </c>
      <c r="U223" t="s">
        <v>747</v>
      </c>
      <c r="V223" t="str">
        <f>_xlfn.XLOOKUP(U223, Mapping!$A$2:$A$48, Mapping!$B$2:$B$48, "Unknown County")</f>
        <v>Eastern</v>
      </c>
    </row>
    <row r="224" spans="1:22" x14ac:dyDescent="0.3">
      <c r="A224" t="s">
        <v>748</v>
      </c>
      <c r="B224" t="s">
        <v>28</v>
      </c>
      <c r="C224" s="3">
        <v>44659</v>
      </c>
      <c r="D224" t="s">
        <v>22</v>
      </c>
      <c r="E224" t="s">
        <v>771</v>
      </c>
      <c r="F224" s="7">
        <v>25</v>
      </c>
      <c r="H224" t="s">
        <v>772</v>
      </c>
      <c r="I224" t="s">
        <v>1584</v>
      </c>
      <c r="J224" t="s">
        <v>28</v>
      </c>
      <c r="K224" t="s">
        <v>71</v>
      </c>
      <c r="L224" t="s">
        <v>33</v>
      </c>
      <c r="M224" t="s">
        <v>28</v>
      </c>
      <c r="N224" t="s">
        <v>28</v>
      </c>
      <c r="O224" s="3"/>
      <c r="Q224" t="s">
        <v>28</v>
      </c>
      <c r="T224" t="s">
        <v>773</v>
      </c>
      <c r="U224" t="s">
        <v>747</v>
      </c>
      <c r="V224" t="str">
        <f>_xlfn.XLOOKUP(U224, Mapping!$A$2:$A$48, Mapping!$B$2:$B$48, "Unknown County")</f>
        <v>Eastern</v>
      </c>
    </row>
    <row r="225" spans="1:22" x14ac:dyDescent="0.3">
      <c r="A225" t="s">
        <v>748</v>
      </c>
      <c r="B225" t="s">
        <v>21</v>
      </c>
      <c r="C225" s="3">
        <v>45108</v>
      </c>
      <c r="D225" t="s">
        <v>22</v>
      </c>
      <c r="E225" t="s">
        <v>774</v>
      </c>
      <c r="F225" s="7"/>
      <c r="H225" t="s">
        <v>775</v>
      </c>
      <c r="I225" t="s">
        <v>70</v>
      </c>
      <c r="J225" t="s">
        <v>25</v>
      </c>
      <c r="K225" t="s">
        <v>84</v>
      </c>
      <c r="L225" t="s">
        <v>59</v>
      </c>
      <c r="M225" t="s">
        <v>34</v>
      </c>
      <c r="N225" t="s">
        <v>35</v>
      </c>
      <c r="O225" s="3"/>
      <c r="Q225" t="s">
        <v>28</v>
      </c>
      <c r="T225" t="s">
        <v>746</v>
      </c>
      <c r="U225" t="s">
        <v>747</v>
      </c>
      <c r="V225" t="str">
        <f>_xlfn.XLOOKUP(U225, Mapping!$A$2:$A$48, Mapping!$B$2:$B$48, "Unknown County")</f>
        <v>Eastern</v>
      </c>
    </row>
    <row r="226" spans="1:22" x14ac:dyDescent="0.3">
      <c r="A226" t="s">
        <v>748</v>
      </c>
      <c r="B226" t="s">
        <v>776</v>
      </c>
      <c r="C226" s="3">
        <v>44647</v>
      </c>
      <c r="D226" t="s">
        <v>22</v>
      </c>
      <c r="E226" t="s">
        <v>28</v>
      </c>
      <c r="F226" s="7">
        <v>21</v>
      </c>
      <c r="H226" t="s">
        <v>28</v>
      </c>
      <c r="I226" t="s">
        <v>70</v>
      </c>
      <c r="J226" t="s">
        <v>28</v>
      </c>
      <c r="K226" t="s">
        <v>71</v>
      </c>
      <c r="L226" t="s">
        <v>59</v>
      </c>
      <c r="M226" t="s">
        <v>28</v>
      </c>
      <c r="N226" t="s">
        <v>28</v>
      </c>
      <c r="O226" s="3"/>
      <c r="Q226" t="s">
        <v>28</v>
      </c>
      <c r="T226" t="s">
        <v>777</v>
      </c>
      <c r="U226" t="s">
        <v>747</v>
      </c>
      <c r="V226" t="str">
        <f>_xlfn.XLOOKUP(U226, Mapping!$A$2:$A$48, Mapping!$B$2:$B$48, "Unknown County")</f>
        <v>Eastern</v>
      </c>
    </row>
    <row r="227" spans="1:22" x14ac:dyDescent="0.3">
      <c r="A227" t="s">
        <v>778</v>
      </c>
      <c r="B227" t="s">
        <v>21</v>
      </c>
      <c r="C227" s="3">
        <v>42889</v>
      </c>
      <c r="D227" t="s">
        <v>22</v>
      </c>
      <c r="E227" t="s">
        <v>28</v>
      </c>
      <c r="F227" s="7"/>
      <c r="H227" t="s">
        <v>28</v>
      </c>
      <c r="I227" t="s">
        <v>39</v>
      </c>
      <c r="J227" t="s">
        <v>25</v>
      </c>
      <c r="K227" t="s">
        <v>26</v>
      </c>
      <c r="L227" t="s">
        <v>33</v>
      </c>
      <c r="M227" t="s">
        <v>34</v>
      </c>
      <c r="N227" t="s">
        <v>35</v>
      </c>
      <c r="O227" s="3"/>
      <c r="Q227" t="s">
        <v>28</v>
      </c>
      <c r="T227" t="s">
        <v>779</v>
      </c>
      <c r="U227" t="s">
        <v>780</v>
      </c>
      <c r="V227" t="str">
        <f>_xlfn.XLOOKUP(U227, Mapping!$A$2:$A$48, Mapping!$B$2:$B$48, "Unknown County")</f>
        <v>Eastern</v>
      </c>
    </row>
    <row r="228" spans="1:22" x14ac:dyDescent="0.3">
      <c r="A228" t="s">
        <v>781</v>
      </c>
      <c r="B228" t="s">
        <v>58</v>
      </c>
      <c r="C228" s="3">
        <v>43157</v>
      </c>
      <c r="D228" t="s">
        <v>22</v>
      </c>
      <c r="E228" t="s">
        <v>28</v>
      </c>
      <c r="F228" s="7"/>
      <c r="H228" t="s">
        <v>782</v>
      </c>
      <c r="I228" t="s">
        <v>39</v>
      </c>
      <c r="J228" t="s">
        <v>25</v>
      </c>
      <c r="K228" t="s">
        <v>26</v>
      </c>
      <c r="L228" t="s">
        <v>59</v>
      </c>
      <c r="M228" t="s">
        <v>34</v>
      </c>
      <c r="N228" t="s">
        <v>35</v>
      </c>
      <c r="O228" s="3"/>
      <c r="Q228" t="s">
        <v>28</v>
      </c>
      <c r="T228" t="s">
        <v>783</v>
      </c>
      <c r="U228" t="s">
        <v>780</v>
      </c>
      <c r="V228" t="str">
        <f>_xlfn.XLOOKUP(U228, Mapping!$A$2:$A$48, Mapping!$B$2:$B$48, "Unknown County")</f>
        <v>Eastern</v>
      </c>
    </row>
    <row r="229" spans="1:22" x14ac:dyDescent="0.3">
      <c r="A229" t="s">
        <v>784</v>
      </c>
      <c r="B229" t="s">
        <v>21</v>
      </c>
      <c r="C229" s="3">
        <v>43442</v>
      </c>
      <c r="D229" t="s">
        <v>22</v>
      </c>
      <c r="E229" t="s">
        <v>785</v>
      </c>
      <c r="F229" s="7">
        <v>36</v>
      </c>
      <c r="H229" t="s">
        <v>28</v>
      </c>
      <c r="I229" t="s">
        <v>39</v>
      </c>
      <c r="J229" t="s">
        <v>25</v>
      </c>
      <c r="K229" t="s">
        <v>26</v>
      </c>
      <c r="L229" t="s">
        <v>59</v>
      </c>
      <c r="M229" t="s">
        <v>34</v>
      </c>
      <c r="N229" t="s">
        <v>35</v>
      </c>
      <c r="O229" s="3"/>
      <c r="Q229" t="s">
        <v>28</v>
      </c>
      <c r="T229" t="s">
        <v>786</v>
      </c>
      <c r="U229" t="s">
        <v>780</v>
      </c>
      <c r="V229" t="str">
        <f>_xlfn.XLOOKUP(U229, Mapping!$A$2:$A$48, Mapping!$B$2:$B$48, "Unknown County")</f>
        <v>Eastern</v>
      </c>
    </row>
    <row r="230" spans="1:22" x14ac:dyDescent="0.3">
      <c r="A230" t="s">
        <v>784</v>
      </c>
      <c r="B230" t="s">
        <v>21</v>
      </c>
      <c r="C230" s="3">
        <v>43903</v>
      </c>
      <c r="D230" t="s">
        <v>22</v>
      </c>
      <c r="E230" t="s">
        <v>787</v>
      </c>
      <c r="F230" s="7">
        <v>33</v>
      </c>
      <c r="H230" t="s">
        <v>788</v>
      </c>
      <c r="I230" t="s">
        <v>39</v>
      </c>
      <c r="J230" t="s">
        <v>25</v>
      </c>
      <c r="K230" t="s">
        <v>26</v>
      </c>
      <c r="L230" t="s">
        <v>33</v>
      </c>
      <c r="M230" t="s">
        <v>60</v>
      </c>
      <c r="N230" t="s">
        <v>35</v>
      </c>
      <c r="O230" s="3"/>
      <c r="Q230" t="s">
        <v>28</v>
      </c>
      <c r="T230" t="s">
        <v>789</v>
      </c>
      <c r="U230" t="s">
        <v>780</v>
      </c>
      <c r="V230" t="str">
        <f>_xlfn.XLOOKUP(U230, Mapping!$A$2:$A$48, Mapping!$B$2:$B$48, "Unknown County")</f>
        <v>Eastern</v>
      </c>
    </row>
    <row r="231" spans="1:22" x14ac:dyDescent="0.3">
      <c r="A231" t="s">
        <v>781</v>
      </c>
      <c r="B231" t="s">
        <v>58</v>
      </c>
      <c r="C231" s="3">
        <v>44405</v>
      </c>
      <c r="D231" t="s">
        <v>22</v>
      </c>
      <c r="E231" t="s">
        <v>790</v>
      </c>
      <c r="F231" s="7"/>
      <c r="H231" t="s">
        <v>791</v>
      </c>
      <c r="I231" t="s">
        <v>1584</v>
      </c>
      <c r="J231" t="s">
        <v>25</v>
      </c>
      <c r="K231" t="s">
        <v>84</v>
      </c>
      <c r="L231" t="s">
        <v>33</v>
      </c>
      <c r="M231" t="s">
        <v>34</v>
      </c>
      <c r="N231" t="s">
        <v>140</v>
      </c>
      <c r="O231" s="3"/>
      <c r="Q231" t="s">
        <v>28</v>
      </c>
      <c r="T231" t="s">
        <v>792</v>
      </c>
      <c r="U231" t="s">
        <v>780</v>
      </c>
      <c r="V231" t="str">
        <f>_xlfn.XLOOKUP(U231, Mapping!$A$2:$A$48, Mapping!$B$2:$B$48, "Unknown County")</f>
        <v>Eastern</v>
      </c>
    </row>
    <row r="232" spans="1:22" x14ac:dyDescent="0.3">
      <c r="A232" t="s">
        <v>793</v>
      </c>
      <c r="B232" t="s">
        <v>63</v>
      </c>
      <c r="C232" s="3">
        <v>43291</v>
      </c>
      <c r="D232" t="s">
        <v>22</v>
      </c>
      <c r="E232" t="s">
        <v>28</v>
      </c>
      <c r="F232" s="7"/>
      <c r="H232" t="s">
        <v>794</v>
      </c>
      <c r="I232" t="s">
        <v>39</v>
      </c>
      <c r="J232" t="s">
        <v>25</v>
      </c>
      <c r="K232" t="s">
        <v>26</v>
      </c>
      <c r="L232" t="s">
        <v>59</v>
      </c>
      <c r="M232" t="s">
        <v>34</v>
      </c>
      <c r="N232" t="s">
        <v>1384</v>
      </c>
      <c r="O232" s="3">
        <v>43299</v>
      </c>
      <c r="Q232" t="s">
        <v>28</v>
      </c>
      <c r="T232" t="s">
        <v>795</v>
      </c>
      <c r="U232" t="s">
        <v>796</v>
      </c>
      <c r="V232" t="str">
        <f>_xlfn.XLOOKUP(U232, Mapping!$A$2:$A$48, Mapping!$B$2:$B$48, "Unknown County")</f>
        <v>North Eastern</v>
      </c>
    </row>
    <row r="233" spans="1:22" x14ac:dyDescent="0.3">
      <c r="A233" t="s">
        <v>797</v>
      </c>
      <c r="B233" t="s">
        <v>21</v>
      </c>
      <c r="C233" s="3">
        <v>43648</v>
      </c>
      <c r="D233" t="s">
        <v>22</v>
      </c>
      <c r="E233" t="s">
        <v>798</v>
      </c>
      <c r="F233" s="7">
        <v>28</v>
      </c>
      <c r="H233" t="s">
        <v>799</v>
      </c>
      <c r="I233" t="s">
        <v>39</v>
      </c>
      <c r="J233" t="s">
        <v>25</v>
      </c>
      <c r="K233" t="s">
        <v>26</v>
      </c>
      <c r="L233" t="s">
        <v>59</v>
      </c>
      <c r="M233" t="s">
        <v>34</v>
      </c>
      <c r="N233" t="s">
        <v>35</v>
      </c>
      <c r="O233" s="3"/>
      <c r="Q233" t="s">
        <v>28</v>
      </c>
      <c r="T233" t="s">
        <v>800</v>
      </c>
      <c r="U233" t="s">
        <v>796</v>
      </c>
      <c r="V233" t="str">
        <f>_xlfn.XLOOKUP(U233, Mapping!$A$2:$A$48, Mapping!$B$2:$B$48, "Unknown County")</f>
        <v>North Eastern</v>
      </c>
    </row>
    <row r="234" spans="1:22" x14ac:dyDescent="0.3">
      <c r="A234" t="s">
        <v>192</v>
      </c>
      <c r="B234" t="s">
        <v>21</v>
      </c>
      <c r="C234" s="3">
        <v>45216</v>
      </c>
      <c r="D234" t="s">
        <v>22</v>
      </c>
      <c r="E234" t="s">
        <v>801</v>
      </c>
      <c r="F234" s="7">
        <v>70</v>
      </c>
      <c r="H234" t="s">
        <v>28</v>
      </c>
      <c r="I234" t="s">
        <v>94</v>
      </c>
      <c r="J234" t="s">
        <v>83</v>
      </c>
      <c r="K234" t="s">
        <v>71</v>
      </c>
      <c r="L234" t="s">
        <v>33</v>
      </c>
      <c r="M234" t="s">
        <v>505</v>
      </c>
      <c r="N234" t="s">
        <v>35</v>
      </c>
      <c r="O234" s="3"/>
      <c r="Q234" t="s">
        <v>28</v>
      </c>
      <c r="T234" t="s">
        <v>802</v>
      </c>
      <c r="U234" t="s">
        <v>803</v>
      </c>
      <c r="V234" t="str">
        <f>_xlfn.XLOOKUP(U234, Mapping!$A$2:$A$48, Mapping!$B$2:$B$48, "Unknown County")</f>
        <v>Eastern</v>
      </c>
    </row>
    <row r="235" spans="1:22" x14ac:dyDescent="0.3">
      <c r="A235" t="s">
        <v>804</v>
      </c>
      <c r="B235" t="s">
        <v>58</v>
      </c>
      <c r="C235" s="3">
        <v>42648</v>
      </c>
      <c r="D235" t="s">
        <v>22</v>
      </c>
      <c r="E235" t="s">
        <v>805</v>
      </c>
      <c r="F235" s="7"/>
      <c r="G235" s="3">
        <v>38484</v>
      </c>
      <c r="H235" t="s">
        <v>806</v>
      </c>
      <c r="I235" t="s">
        <v>39</v>
      </c>
      <c r="J235" t="s">
        <v>25</v>
      </c>
      <c r="K235" t="s">
        <v>26</v>
      </c>
      <c r="L235" t="s">
        <v>40</v>
      </c>
      <c r="M235" t="s">
        <v>34</v>
      </c>
      <c r="N235" t="s">
        <v>28</v>
      </c>
      <c r="O235" s="3">
        <v>38577</v>
      </c>
      <c r="P235" s="3">
        <v>42545</v>
      </c>
      <c r="Q235" t="s">
        <v>41</v>
      </c>
      <c r="S235" s="7">
        <v>4061</v>
      </c>
      <c r="T235" t="s">
        <v>807</v>
      </c>
      <c r="U235" t="s">
        <v>808</v>
      </c>
      <c r="V235" t="str">
        <f>_xlfn.XLOOKUP(U235, Mapping!$A$2:$A$48, Mapping!$B$2:$B$48, "Unknown County")</f>
        <v>Eastern</v>
      </c>
    </row>
    <row r="236" spans="1:22" x14ac:dyDescent="0.3">
      <c r="A236" t="s">
        <v>809</v>
      </c>
      <c r="B236" t="s">
        <v>21</v>
      </c>
      <c r="C236" s="3">
        <v>43093</v>
      </c>
      <c r="D236" t="s">
        <v>22</v>
      </c>
      <c r="E236" t="s">
        <v>810</v>
      </c>
      <c r="F236" s="7">
        <v>32</v>
      </c>
      <c r="H236" t="s">
        <v>811</v>
      </c>
      <c r="I236" t="s">
        <v>39</v>
      </c>
      <c r="J236" t="s">
        <v>25</v>
      </c>
      <c r="K236" t="s">
        <v>26</v>
      </c>
      <c r="L236" t="s">
        <v>40</v>
      </c>
      <c r="M236" t="s">
        <v>34</v>
      </c>
      <c r="N236" t="s">
        <v>28</v>
      </c>
      <c r="O236" s="3"/>
      <c r="Q236" t="s">
        <v>28</v>
      </c>
      <c r="T236" t="s">
        <v>812</v>
      </c>
      <c r="U236" t="s">
        <v>808</v>
      </c>
      <c r="V236" t="str">
        <f>_xlfn.XLOOKUP(U236, Mapping!$A$2:$A$48, Mapping!$B$2:$B$48, "Unknown County")</f>
        <v>Eastern</v>
      </c>
    </row>
    <row r="237" spans="1:22" x14ac:dyDescent="0.3">
      <c r="A237" t="s">
        <v>809</v>
      </c>
      <c r="B237" t="s">
        <v>21</v>
      </c>
      <c r="C237" s="3">
        <v>43280</v>
      </c>
      <c r="D237" t="s">
        <v>22</v>
      </c>
      <c r="E237" t="s">
        <v>813</v>
      </c>
      <c r="F237" s="7"/>
      <c r="H237" t="s">
        <v>28</v>
      </c>
      <c r="I237" t="s">
        <v>82</v>
      </c>
      <c r="J237" t="s">
        <v>28</v>
      </c>
      <c r="K237" t="s">
        <v>84</v>
      </c>
      <c r="L237" t="s">
        <v>40</v>
      </c>
      <c r="M237" t="s">
        <v>183</v>
      </c>
      <c r="N237" t="s">
        <v>35</v>
      </c>
      <c r="O237" s="3"/>
      <c r="Q237" t="s">
        <v>28</v>
      </c>
      <c r="T237" t="s">
        <v>814</v>
      </c>
      <c r="U237" t="s">
        <v>808</v>
      </c>
      <c r="V237" t="str">
        <f>_xlfn.XLOOKUP(U237, Mapping!$A$2:$A$48, Mapping!$B$2:$B$48, "Unknown County")</f>
        <v>Eastern</v>
      </c>
    </row>
    <row r="238" spans="1:22" x14ac:dyDescent="0.3">
      <c r="A238" t="s">
        <v>809</v>
      </c>
      <c r="B238" t="s">
        <v>21</v>
      </c>
      <c r="C238" s="3">
        <v>43297</v>
      </c>
      <c r="D238" t="s">
        <v>22</v>
      </c>
      <c r="E238" t="s">
        <v>815</v>
      </c>
      <c r="F238" s="7">
        <v>30</v>
      </c>
      <c r="H238" t="s">
        <v>816</v>
      </c>
      <c r="I238" t="s">
        <v>39</v>
      </c>
      <c r="J238" t="s">
        <v>25</v>
      </c>
      <c r="K238" t="s">
        <v>26</v>
      </c>
      <c r="L238" t="s">
        <v>33</v>
      </c>
      <c r="M238" t="s">
        <v>34</v>
      </c>
      <c r="N238" t="s">
        <v>35</v>
      </c>
      <c r="O238" s="3"/>
      <c r="Q238" t="s">
        <v>28</v>
      </c>
      <c r="T238" t="s">
        <v>817</v>
      </c>
      <c r="U238" t="s">
        <v>808</v>
      </c>
      <c r="V238" t="str">
        <f>_xlfn.XLOOKUP(U238, Mapping!$A$2:$A$48, Mapping!$B$2:$B$48, "Unknown County")</f>
        <v>Eastern</v>
      </c>
    </row>
    <row r="239" spans="1:22" x14ac:dyDescent="0.3">
      <c r="A239" t="s">
        <v>28</v>
      </c>
      <c r="B239" t="s">
        <v>63</v>
      </c>
      <c r="D239" t="s">
        <v>22</v>
      </c>
      <c r="E239" t="s">
        <v>818</v>
      </c>
      <c r="F239" s="7">
        <v>29</v>
      </c>
      <c r="H239" t="s">
        <v>28</v>
      </c>
      <c r="I239" t="s">
        <v>39</v>
      </c>
      <c r="J239" t="s">
        <v>28</v>
      </c>
      <c r="K239" t="s">
        <v>28</v>
      </c>
      <c r="L239" t="s">
        <v>46</v>
      </c>
      <c r="M239" t="s">
        <v>28</v>
      </c>
      <c r="N239" t="s">
        <v>28</v>
      </c>
      <c r="O239" s="3"/>
      <c r="Q239" t="s">
        <v>28</v>
      </c>
      <c r="T239" t="s">
        <v>819</v>
      </c>
      <c r="U239" t="s">
        <v>808</v>
      </c>
      <c r="V239" t="str">
        <f>_xlfn.XLOOKUP(U239, Mapping!$A$2:$A$48, Mapping!$B$2:$B$48, "Unknown County")</f>
        <v>Eastern</v>
      </c>
    </row>
    <row r="240" spans="1:22" x14ac:dyDescent="0.3">
      <c r="A240" t="s">
        <v>28</v>
      </c>
      <c r="B240" t="s">
        <v>115</v>
      </c>
      <c r="D240" t="s">
        <v>22</v>
      </c>
      <c r="E240" t="s">
        <v>820</v>
      </c>
      <c r="F240" s="7"/>
      <c r="G240" s="3">
        <v>43591</v>
      </c>
      <c r="H240" t="s">
        <v>28</v>
      </c>
      <c r="I240" t="s">
        <v>70</v>
      </c>
      <c r="J240" t="s">
        <v>28</v>
      </c>
      <c r="K240" t="s">
        <v>28</v>
      </c>
      <c r="L240" t="s">
        <v>46</v>
      </c>
      <c r="M240" t="s">
        <v>28</v>
      </c>
      <c r="N240" t="s">
        <v>28</v>
      </c>
      <c r="O240" s="3"/>
      <c r="Q240" t="s">
        <v>28</v>
      </c>
      <c r="T240" t="s">
        <v>819</v>
      </c>
      <c r="U240" t="s">
        <v>808</v>
      </c>
      <c r="V240" t="str">
        <f>_xlfn.XLOOKUP(U240, Mapping!$A$2:$A$48, Mapping!$B$2:$B$48, "Unknown County")</f>
        <v>Eastern</v>
      </c>
    </row>
    <row r="241" spans="1:22" x14ac:dyDescent="0.3">
      <c r="A241" t="s">
        <v>181</v>
      </c>
      <c r="B241" t="s">
        <v>63</v>
      </c>
      <c r="C241" s="3">
        <v>43636</v>
      </c>
      <c r="D241" t="s">
        <v>22</v>
      </c>
      <c r="E241" t="s">
        <v>28</v>
      </c>
      <c r="F241" s="7">
        <v>17</v>
      </c>
      <c r="H241" t="s">
        <v>28</v>
      </c>
      <c r="I241" t="s">
        <v>82</v>
      </c>
      <c r="J241" t="s">
        <v>83</v>
      </c>
      <c r="K241" t="s">
        <v>84</v>
      </c>
      <c r="L241" t="s">
        <v>165</v>
      </c>
      <c r="M241" t="s">
        <v>28</v>
      </c>
      <c r="N241" t="s">
        <v>35</v>
      </c>
      <c r="O241" s="3"/>
      <c r="Q241" t="s">
        <v>28</v>
      </c>
      <c r="T241" t="s">
        <v>821</v>
      </c>
      <c r="U241" t="s">
        <v>808</v>
      </c>
      <c r="V241" t="str">
        <f>_xlfn.XLOOKUP(U241, Mapping!$A$2:$A$48, Mapping!$B$2:$B$48, "Unknown County")</f>
        <v>Eastern</v>
      </c>
    </row>
    <row r="242" spans="1:22" x14ac:dyDescent="0.3">
      <c r="A242" t="s">
        <v>181</v>
      </c>
      <c r="B242" t="s">
        <v>63</v>
      </c>
      <c r="C242" s="3">
        <v>43723</v>
      </c>
      <c r="D242" t="s">
        <v>22</v>
      </c>
      <c r="E242" t="s">
        <v>822</v>
      </c>
      <c r="F242" s="7">
        <v>24</v>
      </c>
      <c r="H242" t="s">
        <v>28</v>
      </c>
      <c r="I242" t="s">
        <v>82</v>
      </c>
      <c r="J242" t="s">
        <v>83</v>
      </c>
      <c r="K242" t="s">
        <v>84</v>
      </c>
      <c r="L242" t="s">
        <v>59</v>
      </c>
      <c r="M242" t="s">
        <v>28</v>
      </c>
      <c r="N242" t="s">
        <v>35</v>
      </c>
      <c r="O242" s="3"/>
      <c r="Q242" t="s">
        <v>28</v>
      </c>
      <c r="T242" t="s">
        <v>823</v>
      </c>
      <c r="U242" t="s">
        <v>808</v>
      </c>
      <c r="V242" t="str">
        <f>_xlfn.XLOOKUP(U242, Mapping!$A$2:$A$48, Mapping!$B$2:$B$48, "Unknown County")</f>
        <v>Eastern</v>
      </c>
    </row>
    <row r="243" spans="1:22" x14ac:dyDescent="0.3">
      <c r="A243" t="s">
        <v>20</v>
      </c>
      <c r="B243" t="s">
        <v>21</v>
      </c>
      <c r="C243" s="3">
        <v>44018</v>
      </c>
      <c r="D243" t="s">
        <v>22</v>
      </c>
      <c r="E243" t="s">
        <v>824</v>
      </c>
      <c r="F243" s="7"/>
      <c r="H243" t="s">
        <v>825</v>
      </c>
      <c r="I243" t="s">
        <v>94</v>
      </c>
      <c r="J243" t="s">
        <v>83</v>
      </c>
      <c r="K243" t="s">
        <v>26</v>
      </c>
      <c r="L243" t="s">
        <v>40</v>
      </c>
      <c r="M243" t="s">
        <v>95</v>
      </c>
      <c r="N243" t="s">
        <v>28</v>
      </c>
      <c r="O243" s="3"/>
      <c r="P243" s="3">
        <v>44012</v>
      </c>
      <c r="Q243" t="s">
        <v>29</v>
      </c>
      <c r="T243" t="s">
        <v>826</v>
      </c>
      <c r="U243" t="s">
        <v>808</v>
      </c>
      <c r="V243" t="str">
        <f>_xlfn.XLOOKUP(U243, Mapping!$A$2:$A$48, Mapping!$B$2:$B$48, "Unknown County")</f>
        <v>Eastern</v>
      </c>
    </row>
    <row r="244" spans="1:22" x14ac:dyDescent="0.3">
      <c r="A244" t="s">
        <v>809</v>
      </c>
      <c r="B244" t="s">
        <v>21</v>
      </c>
      <c r="C244" s="3">
        <v>44750</v>
      </c>
      <c r="D244" t="s">
        <v>22</v>
      </c>
      <c r="E244" t="s">
        <v>28</v>
      </c>
      <c r="F244" s="7"/>
      <c r="H244" t="s">
        <v>827</v>
      </c>
      <c r="I244" t="s">
        <v>39</v>
      </c>
      <c r="J244" t="s">
        <v>25</v>
      </c>
      <c r="K244" t="s">
        <v>26</v>
      </c>
      <c r="L244" t="s">
        <v>33</v>
      </c>
      <c r="M244" t="s">
        <v>34</v>
      </c>
      <c r="N244" t="s">
        <v>35</v>
      </c>
      <c r="O244" s="3"/>
      <c r="Q244" t="s">
        <v>28</v>
      </c>
      <c r="T244" t="s">
        <v>828</v>
      </c>
      <c r="U244" t="s">
        <v>808</v>
      </c>
      <c r="V244" t="str">
        <f>_xlfn.XLOOKUP(U244, Mapping!$A$2:$A$48, Mapping!$B$2:$B$48, "Unknown County")</f>
        <v>Eastern</v>
      </c>
    </row>
    <row r="245" spans="1:22" x14ac:dyDescent="0.3">
      <c r="A245" t="s">
        <v>829</v>
      </c>
      <c r="B245" t="s">
        <v>63</v>
      </c>
      <c r="C245" s="3">
        <v>44945</v>
      </c>
      <c r="D245" t="s">
        <v>22</v>
      </c>
      <c r="E245" t="s">
        <v>830</v>
      </c>
      <c r="F245" s="7">
        <v>18</v>
      </c>
      <c r="H245" t="s">
        <v>831</v>
      </c>
      <c r="I245" t="s">
        <v>70</v>
      </c>
      <c r="J245" t="s">
        <v>25</v>
      </c>
      <c r="K245" t="s">
        <v>84</v>
      </c>
      <c r="L245" t="s">
        <v>33</v>
      </c>
      <c r="M245" t="s">
        <v>28</v>
      </c>
      <c r="N245" t="s">
        <v>35</v>
      </c>
      <c r="O245" s="3"/>
      <c r="Q245" t="s">
        <v>28</v>
      </c>
      <c r="T245" t="s">
        <v>832</v>
      </c>
      <c r="U245" t="s">
        <v>808</v>
      </c>
      <c r="V245" t="str">
        <f>_xlfn.XLOOKUP(U245, Mapping!$A$2:$A$48, Mapping!$B$2:$B$48, "Unknown County")</f>
        <v>Eastern</v>
      </c>
    </row>
    <row r="246" spans="1:22" x14ac:dyDescent="0.3">
      <c r="A246" t="s">
        <v>192</v>
      </c>
      <c r="B246" t="s">
        <v>21</v>
      </c>
      <c r="C246" s="3">
        <v>45011</v>
      </c>
      <c r="D246" t="s">
        <v>22</v>
      </c>
      <c r="E246" t="s">
        <v>28</v>
      </c>
      <c r="F246" s="7"/>
      <c r="H246" t="s">
        <v>833</v>
      </c>
      <c r="I246" t="s">
        <v>39</v>
      </c>
      <c r="J246" t="s">
        <v>25</v>
      </c>
      <c r="K246" t="s">
        <v>26</v>
      </c>
      <c r="L246" t="s">
        <v>59</v>
      </c>
      <c r="M246" t="s">
        <v>34</v>
      </c>
      <c r="N246" t="s">
        <v>35</v>
      </c>
      <c r="O246" s="3"/>
      <c r="Q246" t="s">
        <v>28</v>
      </c>
      <c r="T246" t="s">
        <v>834</v>
      </c>
      <c r="U246" t="s">
        <v>808</v>
      </c>
      <c r="V246" t="str">
        <f>_xlfn.XLOOKUP(U246, Mapping!$A$2:$A$48, Mapping!$B$2:$B$48, "Unknown County")</f>
        <v>Eastern</v>
      </c>
    </row>
    <row r="247" spans="1:22" x14ac:dyDescent="0.3">
      <c r="A247" t="s">
        <v>835</v>
      </c>
      <c r="B247" t="s">
        <v>63</v>
      </c>
      <c r="C247" s="3">
        <v>45015</v>
      </c>
      <c r="D247" t="s">
        <v>22</v>
      </c>
      <c r="E247" t="s">
        <v>836</v>
      </c>
      <c r="F247" s="7">
        <v>36</v>
      </c>
      <c r="H247" t="s">
        <v>837</v>
      </c>
      <c r="I247" t="s">
        <v>39</v>
      </c>
      <c r="J247" t="s">
        <v>25</v>
      </c>
      <c r="K247" t="s">
        <v>71</v>
      </c>
      <c r="L247" t="s">
        <v>59</v>
      </c>
      <c r="M247" t="s">
        <v>28</v>
      </c>
      <c r="N247" t="s">
        <v>35</v>
      </c>
      <c r="O247" s="3"/>
      <c r="Q247" t="s">
        <v>28</v>
      </c>
      <c r="T247" t="s">
        <v>838</v>
      </c>
      <c r="U247" t="s">
        <v>808</v>
      </c>
      <c r="V247" t="str">
        <f>_xlfn.XLOOKUP(U247, Mapping!$A$2:$A$48, Mapping!$B$2:$B$48, "Unknown County")</f>
        <v>Eastern</v>
      </c>
    </row>
    <row r="248" spans="1:22" x14ac:dyDescent="0.3">
      <c r="A248" t="s">
        <v>835</v>
      </c>
      <c r="B248" t="s">
        <v>63</v>
      </c>
      <c r="C248" s="3">
        <v>45197</v>
      </c>
      <c r="D248" t="s">
        <v>22</v>
      </c>
      <c r="E248" t="s">
        <v>839</v>
      </c>
      <c r="F248" s="7">
        <v>40</v>
      </c>
      <c r="H248" t="s">
        <v>840</v>
      </c>
      <c r="I248" t="s">
        <v>39</v>
      </c>
      <c r="J248" t="s">
        <v>88</v>
      </c>
      <c r="K248" t="s">
        <v>71</v>
      </c>
      <c r="L248" t="s">
        <v>40</v>
      </c>
      <c r="M248" t="s">
        <v>505</v>
      </c>
      <c r="N248" t="s">
        <v>35</v>
      </c>
      <c r="O248" s="3"/>
      <c r="Q248" t="s">
        <v>28</v>
      </c>
      <c r="T248" t="s">
        <v>841</v>
      </c>
      <c r="U248" t="s">
        <v>808</v>
      </c>
      <c r="V248" t="str">
        <f>_xlfn.XLOOKUP(U248, Mapping!$A$2:$A$48, Mapping!$B$2:$B$48, "Unknown County")</f>
        <v>Eastern</v>
      </c>
    </row>
    <row r="249" spans="1:22" x14ac:dyDescent="0.3">
      <c r="A249" t="s">
        <v>842</v>
      </c>
      <c r="B249" t="s">
        <v>21</v>
      </c>
      <c r="C249" s="3">
        <v>43938</v>
      </c>
      <c r="D249" t="s">
        <v>22</v>
      </c>
      <c r="E249" t="s">
        <v>843</v>
      </c>
      <c r="F249" s="7"/>
      <c r="H249" t="s">
        <v>844</v>
      </c>
      <c r="I249" t="s">
        <v>70</v>
      </c>
      <c r="J249" t="s">
        <v>25</v>
      </c>
      <c r="K249" t="s">
        <v>84</v>
      </c>
      <c r="L249" t="s">
        <v>59</v>
      </c>
      <c r="M249" t="s">
        <v>28</v>
      </c>
      <c r="N249" t="s">
        <v>28</v>
      </c>
      <c r="O249" s="3"/>
      <c r="P249" s="3">
        <v>43938</v>
      </c>
      <c r="Q249" t="s">
        <v>29</v>
      </c>
      <c r="R249" s="7">
        <v>25</v>
      </c>
      <c r="S249" s="7">
        <v>2037</v>
      </c>
      <c r="T249" t="s">
        <v>845</v>
      </c>
      <c r="U249" t="s">
        <v>846</v>
      </c>
      <c r="V249" t="str">
        <f>_xlfn.XLOOKUP(U249, Mapping!$A$2:$A$48, Mapping!$B$2:$B$48, "Unknown County")</f>
        <v>Nyanza</v>
      </c>
    </row>
    <row r="250" spans="1:22" x14ac:dyDescent="0.3">
      <c r="A250" t="s">
        <v>847</v>
      </c>
      <c r="B250" t="s">
        <v>63</v>
      </c>
      <c r="C250" s="3">
        <v>43364</v>
      </c>
      <c r="D250" t="s">
        <v>22</v>
      </c>
      <c r="E250" t="s">
        <v>848</v>
      </c>
      <c r="F250" s="7"/>
      <c r="H250" t="s">
        <v>849</v>
      </c>
      <c r="I250" t="s">
        <v>39</v>
      </c>
      <c r="J250" t="s">
        <v>25</v>
      </c>
      <c r="K250" t="s">
        <v>26</v>
      </c>
      <c r="L250" t="s">
        <v>59</v>
      </c>
      <c r="M250" t="s">
        <v>60</v>
      </c>
      <c r="N250" t="s">
        <v>35</v>
      </c>
      <c r="O250" s="3"/>
      <c r="Q250" t="s">
        <v>28</v>
      </c>
      <c r="T250" t="s">
        <v>850</v>
      </c>
      <c r="U250" t="s">
        <v>846</v>
      </c>
      <c r="V250" t="str">
        <f>_xlfn.XLOOKUP(U250, Mapping!$A$2:$A$48, Mapping!$B$2:$B$48, "Unknown County")</f>
        <v>Nyanza</v>
      </c>
    </row>
    <row r="251" spans="1:22" x14ac:dyDescent="0.3">
      <c r="A251" t="s">
        <v>851</v>
      </c>
      <c r="B251" t="s">
        <v>21</v>
      </c>
      <c r="C251" s="3">
        <v>43520</v>
      </c>
      <c r="D251" t="s">
        <v>22</v>
      </c>
      <c r="E251" t="s">
        <v>852</v>
      </c>
      <c r="F251" s="7">
        <v>28</v>
      </c>
      <c r="H251" t="s">
        <v>853</v>
      </c>
      <c r="I251" t="s">
        <v>39</v>
      </c>
      <c r="J251" t="s">
        <v>25</v>
      </c>
      <c r="K251" t="s">
        <v>26</v>
      </c>
      <c r="L251" t="s">
        <v>40</v>
      </c>
      <c r="M251" t="s">
        <v>34</v>
      </c>
      <c r="N251" t="s">
        <v>35</v>
      </c>
      <c r="O251" s="3"/>
      <c r="Q251" t="s">
        <v>28</v>
      </c>
      <c r="T251" t="s">
        <v>854</v>
      </c>
      <c r="U251" t="s">
        <v>846</v>
      </c>
      <c r="V251" t="str">
        <f>_xlfn.XLOOKUP(U251, Mapping!$A$2:$A$48, Mapping!$B$2:$B$48, "Unknown County")</f>
        <v>Nyanza</v>
      </c>
    </row>
    <row r="252" spans="1:22" x14ac:dyDescent="0.3">
      <c r="A252" t="s">
        <v>855</v>
      </c>
      <c r="B252" t="s">
        <v>58</v>
      </c>
      <c r="C252" s="3">
        <v>44571</v>
      </c>
      <c r="D252" t="s">
        <v>22</v>
      </c>
      <c r="E252" t="s">
        <v>712</v>
      </c>
      <c r="F252" s="7">
        <v>46</v>
      </c>
      <c r="H252" t="s">
        <v>856</v>
      </c>
      <c r="I252" t="s">
        <v>39</v>
      </c>
      <c r="J252" t="s">
        <v>25</v>
      </c>
      <c r="K252" t="s">
        <v>26</v>
      </c>
      <c r="L252" t="s">
        <v>46</v>
      </c>
      <c r="M252" t="s">
        <v>34</v>
      </c>
      <c r="N252" t="s">
        <v>140</v>
      </c>
      <c r="O252" s="3"/>
      <c r="Q252" t="s">
        <v>28</v>
      </c>
      <c r="T252" t="s">
        <v>857</v>
      </c>
      <c r="U252" t="s">
        <v>846</v>
      </c>
      <c r="V252" t="str">
        <f>_xlfn.XLOOKUP(U252, Mapping!$A$2:$A$48, Mapping!$B$2:$B$48, "Unknown County")</f>
        <v>Nyanza</v>
      </c>
    </row>
    <row r="253" spans="1:22" x14ac:dyDescent="0.3">
      <c r="A253" t="s">
        <v>36</v>
      </c>
      <c r="B253" t="s">
        <v>58</v>
      </c>
      <c r="C253" s="3">
        <v>44612</v>
      </c>
      <c r="D253" t="s">
        <v>22</v>
      </c>
      <c r="E253" t="s">
        <v>858</v>
      </c>
      <c r="F253" s="7">
        <v>27</v>
      </c>
      <c r="H253" t="s">
        <v>859</v>
      </c>
      <c r="I253" t="s">
        <v>39</v>
      </c>
      <c r="J253" t="s">
        <v>25</v>
      </c>
      <c r="K253" t="s">
        <v>26</v>
      </c>
      <c r="L253" t="s">
        <v>139</v>
      </c>
      <c r="M253" t="s">
        <v>34</v>
      </c>
      <c r="N253" t="s">
        <v>140</v>
      </c>
      <c r="O253" s="3"/>
      <c r="Q253" t="s">
        <v>28</v>
      </c>
      <c r="T253" t="s">
        <v>860</v>
      </c>
      <c r="U253" t="s">
        <v>846</v>
      </c>
      <c r="V253" t="str">
        <f>_xlfn.XLOOKUP(U253, Mapping!$A$2:$A$48, Mapping!$B$2:$B$48, "Unknown County")</f>
        <v>Nyanza</v>
      </c>
    </row>
    <row r="254" spans="1:22" x14ac:dyDescent="0.3">
      <c r="A254" t="s">
        <v>570</v>
      </c>
      <c r="B254" t="s">
        <v>571</v>
      </c>
      <c r="C254" s="3">
        <v>45105</v>
      </c>
      <c r="D254" t="s">
        <v>22</v>
      </c>
      <c r="E254" t="s">
        <v>861</v>
      </c>
      <c r="F254" s="7">
        <v>20</v>
      </c>
      <c r="H254" t="s">
        <v>508</v>
      </c>
      <c r="I254" t="s">
        <v>82</v>
      </c>
      <c r="J254" t="s">
        <v>28</v>
      </c>
      <c r="K254" t="s">
        <v>84</v>
      </c>
      <c r="L254" t="s">
        <v>173</v>
      </c>
      <c r="M254" t="s">
        <v>28</v>
      </c>
      <c r="N254" t="s">
        <v>28</v>
      </c>
      <c r="O254" s="3"/>
      <c r="Q254" t="s">
        <v>28</v>
      </c>
      <c r="T254" t="s">
        <v>862</v>
      </c>
      <c r="U254" t="s">
        <v>846</v>
      </c>
      <c r="V254" t="str">
        <f>_xlfn.XLOOKUP(U254, Mapping!$A$2:$A$48, Mapping!$B$2:$B$48, "Unknown County")</f>
        <v>Nyanza</v>
      </c>
    </row>
    <row r="255" spans="1:22" x14ac:dyDescent="0.3">
      <c r="A255" t="s">
        <v>863</v>
      </c>
      <c r="B255" t="s">
        <v>21</v>
      </c>
      <c r="C255" s="3">
        <v>42820</v>
      </c>
      <c r="D255" t="s">
        <v>22</v>
      </c>
      <c r="E255" t="s">
        <v>864</v>
      </c>
      <c r="F255" s="7">
        <v>25</v>
      </c>
      <c r="H255" t="s">
        <v>28</v>
      </c>
      <c r="I255" t="s">
        <v>82</v>
      </c>
      <c r="J255" t="s">
        <v>25</v>
      </c>
      <c r="K255" t="s">
        <v>84</v>
      </c>
      <c r="L255" t="s">
        <v>258</v>
      </c>
      <c r="M255" t="s">
        <v>28</v>
      </c>
      <c r="N255" t="s">
        <v>174</v>
      </c>
      <c r="O255" s="3"/>
      <c r="Q255" t="s">
        <v>28</v>
      </c>
      <c r="T255" t="s">
        <v>865</v>
      </c>
      <c r="U255" t="s">
        <v>866</v>
      </c>
      <c r="V255" t="str">
        <f>_xlfn.XLOOKUP(U255, Mapping!$A$2:$A$48, Mapping!$B$2:$B$48, "Unknown County")</f>
        <v>Coast</v>
      </c>
    </row>
    <row r="256" spans="1:22" x14ac:dyDescent="0.3">
      <c r="A256" t="s">
        <v>28</v>
      </c>
      <c r="B256" t="s">
        <v>47</v>
      </c>
      <c r="D256" t="s">
        <v>22</v>
      </c>
      <c r="E256" t="s">
        <v>867</v>
      </c>
      <c r="F256" s="7">
        <v>25</v>
      </c>
      <c r="H256" t="s">
        <v>28</v>
      </c>
      <c r="I256" t="s">
        <v>70</v>
      </c>
      <c r="J256" t="s">
        <v>28</v>
      </c>
      <c r="K256" t="s">
        <v>28</v>
      </c>
      <c r="L256" t="s">
        <v>46</v>
      </c>
      <c r="M256" t="s">
        <v>28</v>
      </c>
      <c r="N256" t="s">
        <v>28</v>
      </c>
      <c r="O256" s="3"/>
      <c r="Q256" t="s">
        <v>28</v>
      </c>
      <c r="T256" t="s">
        <v>868</v>
      </c>
      <c r="U256" t="s">
        <v>866</v>
      </c>
      <c r="V256" t="str">
        <f>_xlfn.XLOOKUP(U256, Mapping!$A$2:$A$48, Mapping!$B$2:$B$48, "Unknown County")</f>
        <v>Coast</v>
      </c>
    </row>
    <row r="257" spans="1:22" x14ac:dyDescent="0.3">
      <c r="A257" t="s">
        <v>28</v>
      </c>
      <c r="B257" t="s">
        <v>869</v>
      </c>
      <c r="D257" t="s">
        <v>22</v>
      </c>
      <c r="E257" t="s">
        <v>870</v>
      </c>
      <c r="F257" s="7">
        <v>28</v>
      </c>
      <c r="H257" t="s">
        <v>28</v>
      </c>
      <c r="I257" t="s">
        <v>39</v>
      </c>
      <c r="J257" t="s">
        <v>28</v>
      </c>
      <c r="K257" t="s">
        <v>28</v>
      </c>
      <c r="L257" t="s">
        <v>46</v>
      </c>
      <c r="M257" t="s">
        <v>28</v>
      </c>
      <c r="N257" t="s">
        <v>28</v>
      </c>
      <c r="O257" s="3"/>
      <c r="Q257" t="s">
        <v>28</v>
      </c>
      <c r="T257" t="s">
        <v>868</v>
      </c>
      <c r="U257" t="s">
        <v>866</v>
      </c>
      <c r="V257" t="str">
        <f>_xlfn.XLOOKUP(U257, Mapping!$A$2:$A$48, Mapping!$B$2:$B$48, "Unknown County")</f>
        <v>Coast</v>
      </c>
    </row>
    <row r="258" spans="1:22" x14ac:dyDescent="0.3">
      <c r="A258" t="s">
        <v>871</v>
      </c>
      <c r="B258" t="s">
        <v>21</v>
      </c>
      <c r="C258" s="3">
        <v>43835</v>
      </c>
      <c r="D258" t="s">
        <v>22</v>
      </c>
      <c r="E258" t="s">
        <v>872</v>
      </c>
      <c r="F258" s="7"/>
      <c r="H258" t="s">
        <v>873</v>
      </c>
      <c r="I258" t="s">
        <v>39</v>
      </c>
      <c r="J258" t="s">
        <v>25</v>
      </c>
      <c r="K258" t="s">
        <v>84</v>
      </c>
      <c r="L258" t="s">
        <v>258</v>
      </c>
      <c r="M258" t="s">
        <v>28</v>
      </c>
      <c r="N258" t="s">
        <v>28</v>
      </c>
      <c r="O258" s="3"/>
      <c r="Q258" t="s">
        <v>28</v>
      </c>
      <c r="T258" t="s">
        <v>874</v>
      </c>
      <c r="U258" t="s">
        <v>866</v>
      </c>
      <c r="V258" t="str">
        <f>_xlfn.XLOOKUP(U258, Mapping!$A$2:$A$48, Mapping!$B$2:$B$48, "Unknown County")</f>
        <v>Coast</v>
      </c>
    </row>
    <row r="259" spans="1:22" x14ac:dyDescent="0.3">
      <c r="A259" t="s">
        <v>875</v>
      </c>
      <c r="B259" t="s">
        <v>135</v>
      </c>
      <c r="C259" s="3">
        <v>43851</v>
      </c>
      <c r="D259" t="s">
        <v>22</v>
      </c>
      <c r="E259" t="s">
        <v>876</v>
      </c>
      <c r="F259" s="7"/>
      <c r="H259" t="s">
        <v>877</v>
      </c>
      <c r="I259" t="s">
        <v>39</v>
      </c>
      <c r="J259" t="s">
        <v>25</v>
      </c>
      <c r="K259" t="s">
        <v>71</v>
      </c>
      <c r="L259" t="s">
        <v>59</v>
      </c>
      <c r="M259" t="s">
        <v>28</v>
      </c>
      <c r="N259" t="s">
        <v>28</v>
      </c>
      <c r="O259" s="3"/>
      <c r="Q259" t="s">
        <v>28</v>
      </c>
      <c r="T259" t="s">
        <v>878</v>
      </c>
      <c r="U259" t="s">
        <v>866</v>
      </c>
      <c r="V259" t="str">
        <f>_xlfn.XLOOKUP(U259, Mapping!$A$2:$A$48, Mapping!$B$2:$B$48, "Unknown County")</f>
        <v>Coast</v>
      </c>
    </row>
    <row r="260" spans="1:22" x14ac:dyDescent="0.3">
      <c r="A260" t="s">
        <v>879</v>
      </c>
      <c r="B260" t="s">
        <v>31</v>
      </c>
      <c r="C260" s="3">
        <v>44911</v>
      </c>
      <c r="D260" t="s">
        <v>22</v>
      </c>
      <c r="E260" t="s">
        <v>880</v>
      </c>
      <c r="F260" s="7">
        <v>30</v>
      </c>
      <c r="H260" t="s">
        <v>881</v>
      </c>
      <c r="I260" t="s">
        <v>39</v>
      </c>
      <c r="J260" t="s">
        <v>25</v>
      </c>
      <c r="K260" t="s">
        <v>26</v>
      </c>
      <c r="L260" t="s">
        <v>139</v>
      </c>
      <c r="M260" t="s">
        <v>34</v>
      </c>
      <c r="N260" t="s">
        <v>1384</v>
      </c>
      <c r="O260" s="3">
        <v>44914</v>
      </c>
      <c r="Q260" t="s">
        <v>28</v>
      </c>
      <c r="T260" t="s">
        <v>28</v>
      </c>
      <c r="U260" t="s">
        <v>866</v>
      </c>
      <c r="V260" t="str">
        <f>_xlfn.XLOOKUP(U260, Mapping!$A$2:$A$48, Mapping!$B$2:$B$48, "Unknown County")</f>
        <v>Coast</v>
      </c>
    </row>
    <row r="261" spans="1:22" x14ac:dyDescent="0.3">
      <c r="A261" t="s">
        <v>882</v>
      </c>
      <c r="B261" t="s">
        <v>63</v>
      </c>
      <c r="C261" s="3">
        <v>44939</v>
      </c>
      <c r="D261" t="s">
        <v>22</v>
      </c>
      <c r="E261" t="s">
        <v>883</v>
      </c>
      <c r="F261" s="7"/>
      <c r="H261" t="s">
        <v>884</v>
      </c>
      <c r="I261" t="s">
        <v>39</v>
      </c>
      <c r="J261" t="s">
        <v>25</v>
      </c>
      <c r="K261" t="s">
        <v>71</v>
      </c>
      <c r="L261" t="s">
        <v>40</v>
      </c>
      <c r="M261" t="s">
        <v>34</v>
      </c>
      <c r="N261" t="s">
        <v>35</v>
      </c>
      <c r="O261" s="3"/>
      <c r="Q261" t="s">
        <v>28</v>
      </c>
      <c r="T261" t="s">
        <v>885</v>
      </c>
      <c r="U261" t="s">
        <v>866</v>
      </c>
      <c r="V261" t="str">
        <f>_xlfn.XLOOKUP(U261, Mapping!$A$2:$A$48, Mapping!$B$2:$B$48, "Unknown County")</f>
        <v>Coast</v>
      </c>
    </row>
    <row r="262" spans="1:22" x14ac:dyDescent="0.3">
      <c r="A262" t="s">
        <v>142</v>
      </c>
      <c r="B262" t="s">
        <v>143</v>
      </c>
      <c r="C262" s="3">
        <v>44960</v>
      </c>
      <c r="D262" t="s">
        <v>22</v>
      </c>
      <c r="E262" t="s">
        <v>28</v>
      </c>
      <c r="F262" s="7">
        <v>32</v>
      </c>
      <c r="H262" t="s">
        <v>28</v>
      </c>
      <c r="I262" t="s">
        <v>82</v>
      </c>
      <c r="J262" t="s">
        <v>83</v>
      </c>
      <c r="K262" t="s">
        <v>84</v>
      </c>
      <c r="L262" t="s">
        <v>85</v>
      </c>
      <c r="M262" t="s">
        <v>886</v>
      </c>
      <c r="N262" t="s">
        <v>35</v>
      </c>
      <c r="O262" s="3"/>
      <c r="Q262" t="s">
        <v>28</v>
      </c>
      <c r="T262" t="s">
        <v>887</v>
      </c>
      <c r="U262" t="s">
        <v>866</v>
      </c>
      <c r="V262" t="str">
        <f>_xlfn.XLOOKUP(U262, Mapping!$A$2:$A$48, Mapping!$B$2:$B$48, "Unknown County")</f>
        <v>Coast</v>
      </c>
    </row>
    <row r="263" spans="1:22" x14ac:dyDescent="0.3">
      <c r="A263" t="s">
        <v>882</v>
      </c>
      <c r="B263" t="s">
        <v>63</v>
      </c>
      <c r="C263" s="3">
        <v>45020</v>
      </c>
      <c r="D263" t="s">
        <v>22</v>
      </c>
      <c r="E263" t="s">
        <v>888</v>
      </c>
      <c r="F263" s="7"/>
      <c r="H263" t="s">
        <v>889</v>
      </c>
      <c r="I263" t="s">
        <v>39</v>
      </c>
      <c r="J263" t="s">
        <v>25</v>
      </c>
      <c r="K263" t="s">
        <v>71</v>
      </c>
      <c r="L263" t="s">
        <v>59</v>
      </c>
      <c r="M263" t="s">
        <v>34</v>
      </c>
      <c r="N263" t="s">
        <v>890</v>
      </c>
      <c r="O263" s="3"/>
      <c r="Q263" t="s">
        <v>28</v>
      </c>
      <c r="T263" t="s">
        <v>891</v>
      </c>
      <c r="U263" t="s">
        <v>866</v>
      </c>
      <c r="V263" t="str">
        <f>_xlfn.XLOOKUP(U263, Mapping!$A$2:$A$48, Mapping!$B$2:$B$48, "Unknown County")</f>
        <v>Coast</v>
      </c>
    </row>
    <row r="264" spans="1:22" x14ac:dyDescent="0.3">
      <c r="A264" t="s">
        <v>892</v>
      </c>
      <c r="B264" t="s">
        <v>58</v>
      </c>
      <c r="C264" s="3">
        <v>43250</v>
      </c>
      <c r="D264" t="s">
        <v>22</v>
      </c>
      <c r="E264" t="s">
        <v>28</v>
      </c>
      <c r="F264" s="7"/>
      <c r="H264" t="s">
        <v>893</v>
      </c>
      <c r="I264" t="s">
        <v>39</v>
      </c>
      <c r="J264" t="s">
        <v>25</v>
      </c>
      <c r="K264" t="s">
        <v>28</v>
      </c>
      <c r="L264" t="s">
        <v>46</v>
      </c>
      <c r="M264" t="s">
        <v>28</v>
      </c>
      <c r="N264" t="s">
        <v>35</v>
      </c>
      <c r="O264" s="3"/>
      <c r="Q264" t="s">
        <v>28</v>
      </c>
      <c r="T264" t="s">
        <v>28</v>
      </c>
      <c r="U264" t="s">
        <v>1607</v>
      </c>
      <c r="V264" t="str">
        <f>_xlfn.XLOOKUP(U264, Mapping!$A$2:$A$48, Mapping!$B$2:$B$48, "Unknown County")</f>
        <v>Central</v>
      </c>
    </row>
    <row r="265" spans="1:22" x14ac:dyDescent="0.3">
      <c r="A265" t="s">
        <v>894</v>
      </c>
      <c r="B265" t="s">
        <v>21</v>
      </c>
      <c r="C265" s="3">
        <v>42646</v>
      </c>
      <c r="D265" t="s">
        <v>22</v>
      </c>
      <c r="E265" t="s">
        <v>895</v>
      </c>
      <c r="F265" s="7">
        <v>10</v>
      </c>
      <c r="H265" t="s">
        <v>28</v>
      </c>
      <c r="I265" t="s">
        <v>82</v>
      </c>
      <c r="J265" t="s">
        <v>172</v>
      </c>
      <c r="K265" t="s">
        <v>302</v>
      </c>
      <c r="L265" t="s">
        <v>173</v>
      </c>
      <c r="M265" t="s">
        <v>28</v>
      </c>
      <c r="N265" t="s">
        <v>28</v>
      </c>
      <c r="O265" s="3"/>
      <c r="Q265" t="s">
        <v>28</v>
      </c>
      <c r="T265" t="s">
        <v>896</v>
      </c>
      <c r="U265" t="s">
        <v>1607</v>
      </c>
      <c r="V265" t="str">
        <f>_xlfn.XLOOKUP(U265, Mapping!$A$2:$A$48, Mapping!$B$2:$B$48, "Unknown County")</f>
        <v>Central</v>
      </c>
    </row>
    <row r="266" spans="1:22" x14ac:dyDescent="0.3">
      <c r="A266" t="s">
        <v>892</v>
      </c>
      <c r="B266" t="s">
        <v>58</v>
      </c>
      <c r="C266" s="3">
        <v>42669</v>
      </c>
      <c r="D266" t="s">
        <v>22</v>
      </c>
      <c r="E266" t="s">
        <v>897</v>
      </c>
      <c r="F266" s="7">
        <v>22</v>
      </c>
      <c r="H266" t="s">
        <v>589</v>
      </c>
      <c r="I266" t="s">
        <v>39</v>
      </c>
      <c r="J266" t="s">
        <v>25</v>
      </c>
      <c r="K266" t="s">
        <v>26</v>
      </c>
      <c r="L266" t="s">
        <v>33</v>
      </c>
      <c r="M266" t="s">
        <v>379</v>
      </c>
      <c r="N266" t="s">
        <v>35</v>
      </c>
      <c r="O266" s="3"/>
      <c r="Q266" t="s">
        <v>28</v>
      </c>
      <c r="T266" t="s">
        <v>898</v>
      </c>
      <c r="U266" t="s">
        <v>1607</v>
      </c>
      <c r="V266" t="str">
        <f>_xlfn.XLOOKUP(U266, Mapping!$A$2:$A$48, Mapping!$B$2:$B$48, "Unknown County")</f>
        <v>Central</v>
      </c>
    </row>
    <row r="267" spans="1:22" x14ac:dyDescent="0.3">
      <c r="A267" t="s">
        <v>463</v>
      </c>
      <c r="B267" t="s">
        <v>21</v>
      </c>
      <c r="C267" s="3">
        <v>42794</v>
      </c>
      <c r="D267" t="s">
        <v>22</v>
      </c>
      <c r="E267" t="s">
        <v>899</v>
      </c>
      <c r="F267" s="7">
        <v>58</v>
      </c>
      <c r="H267" t="s">
        <v>28</v>
      </c>
      <c r="I267" t="s">
        <v>82</v>
      </c>
      <c r="J267" t="s">
        <v>172</v>
      </c>
      <c r="K267" t="s">
        <v>26</v>
      </c>
      <c r="L267" t="s">
        <v>40</v>
      </c>
      <c r="M267" t="s">
        <v>900</v>
      </c>
      <c r="N267" t="s">
        <v>35</v>
      </c>
      <c r="O267" s="3">
        <v>42796</v>
      </c>
      <c r="Q267" t="s">
        <v>28</v>
      </c>
      <c r="T267" t="s">
        <v>901</v>
      </c>
      <c r="U267" t="s">
        <v>1607</v>
      </c>
      <c r="V267" t="str">
        <f>_xlfn.XLOOKUP(U267, Mapping!$A$2:$A$48, Mapping!$B$2:$B$48, "Unknown County")</f>
        <v>Central</v>
      </c>
    </row>
    <row r="268" spans="1:22" x14ac:dyDescent="0.3">
      <c r="A268" t="s">
        <v>902</v>
      </c>
      <c r="B268" t="s">
        <v>256</v>
      </c>
      <c r="C268" s="3">
        <v>42822</v>
      </c>
      <c r="D268" t="s">
        <v>22</v>
      </c>
      <c r="E268" t="s">
        <v>903</v>
      </c>
      <c r="F268" s="7">
        <v>35</v>
      </c>
      <c r="H268" t="s">
        <v>904</v>
      </c>
      <c r="I268" t="s">
        <v>186</v>
      </c>
      <c r="J268" t="s">
        <v>172</v>
      </c>
      <c r="K268" t="s">
        <v>26</v>
      </c>
      <c r="L268" t="s">
        <v>40</v>
      </c>
      <c r="M268" t="s">
        <v>373</v>
      </c>
      <c r="N268" t="s">
        <v>174</v>
      </c>
      <c r="O268" s="3"/>
      <c r="Q268" t="s">
        <v>28</v>
      </c>
      <c r="T268" t="s">
        <v>905</v>
      </c>
      <c r="U268" t="s">
        <v>1607</v>
      </c>
      <c r="V268" t="str">
        <f>_xlfn.XLOOKUP(U268, Mapping!$A$2:$A$48, Mapping!$B$2:$B$48, "Unknown County")</f>
        <v>Central</v>
      </c>
    </row>
    <row r="269" spans="1:22" x14ac:dyDescent="0.3">
      <c r="A269" t="s">
        <v>894</v>
      </c>
      <c r="B269" t="s">
        <v>21</v>
      </c>
      <c r="C269" s="3">
        <v>42824</v>
      </c>
      <c r="D269" t="s">
        <v>22</v>
      </c>
      <c r="E269" t="s">
        <v>906</v>
      </c>
      <c r="F269" s="7">
        <v>16</v>
      </c>
      <c r="H269" t="s">
        <v>907</v>
      </c>
      <c r="I269" t="s">
        <v>186</v>
      </c>
      <c r="J269" t="s">
        <v>83</v>
      </c>
      <c r="K269" t="s">
        <v>84</v>
      </c>
      <c r="L269" t="s">
        <v>40</v>
      </c>
      <c r="M269" t="s">
        <v>28</v>
      </c>
      <c r="N269" t="s">
        <v>35</v>
      </c>
      <c r="O269" s="3"/>
      <c r="Q269" t="s">
        <v>28</v>
      </c>
      <c r="T269" t="s">
        <v>908</v>
      </c>
      <c r="U269" t="s">
        <v>1607</v>
      </c>
      <c r="V269" t="str">
        <f>_xlfn.XLOOKUP(U269, Mapping!$A$2:$A$48, Mapping!$B$2:$B$48, "Unknown County")</f>
        <v>Central</v>
      </c>
    </row>
    <row r="270" spans="1:22" x14ac:dyDescent="0.3">
      <c r="A270" t="s">
        <v>892</v>
      </c>
      <c r="B270" t="s">
        <v>58</v>
      </c>
      <c r="C270" s="3">
        <v>42849</v>
      </c>
      <c r="D270" t="s">
        <v>22</v>
      </c>
      <c r="E270" t="s">
        <v>909</v>
      </c>
      <c r="F270" s="7">
        <v>33</v>
      </c>
      <c r="H270" t="s">
        <v>28</v>
      </c>
      <c r="I270" t="s">
        <v>39</v>
      </c>
      <c r="J270" t="s">
        <v>25</v>
      </c>
      <c r="K270" t="s">
        <v>26</v>
      </c>
      <c r="L270" t="s">
        <v>59</v>
      </c>
      <c r="M270" t="s">
        <v>60</v>
      </c>
      <c r="N270" t="s">
        <v>35</v>
      </c>
      <c r="O270" s="3"/>
      <c r="Q270" t="s">
        <v>28</v>
      </c>
      <c r="T270" t="s">
        <v>910</v>
      </c>
      <c r="U270" t="s">
        <v>1607</v>
      </c>
      <c r="V270" t="str">
        <f>_xlfn.XLOOKUP(U270, Mapping!$A$2:$A$48, Mapping!$B$2:$B$48, "Unknown County")</f>
        <v>Central</v>
      </c>
    </row>
    <row r="271" spans="1:22" x14ac:dyDescent="0.3">
      <c r="A271" t="s">
        <v>894</v>
      </c>
      <c r="B271" t="s">
        <v>21</v>
      </c>
      <c r="C271" s="3">
        <v>43136</v>
      </c>
      <c r="D271" t="s">
        <v>22</v>
      </c>
      <c r="E271" t="s">
        <v>911</v>
      </c>
      <c r="F271" s="7"/>
      <c r="H271" t="s">
        <v>912</v>
      </c>
      <c r="I271" t="s">
        <v>39</v>
      </c>
      <c r="J271" t="s">
        <v>25</v>
      </c>
      <c r="K271" t="s">
        <v>26</v>
      </c>
      <c r="L271" t="s">
        <v>40</v>
      </c>
      <c r="M271" t="s">
        <v>60</v>
      </c>
      <c r="N271" t="s">
        <v>35</v>
      </c>
      <c r="O271" s="3"/>
      <c r="Q271" t="s">
        <v>28</v>
      </c>
      <c r="T271" t="s">
        <v>913</v>
      </c>
      <c r="U271" t="s">
        <v>1607</v>
      </c>
      <c r="V271" t="str">
        <f>_xlfn.XLOOKUP(U271, Mapping!$A$2:$A$48, Mapping!$B$2:$B$48, "Unknown County")</f>
        <v>Central</v>
      </c>
    </row>
    <row r="272" spans="1:22" x14ac:dyDescent="0.3">
      <c r="A272" t="s">
        <v>894</v>
      </c>
      <c r="B272" t="s">
        <v>21</v>
      </c>
      <c r="C272" s="3">
        <v>43194</v>
      </c>
      <c r="D272" t="s">
        <v>22</v>
      </c>
      <c r="E272" t="s">
        <v>914</v>
      </c>
      <c r="F272" s="7"/>
      <c r="H272" t="s">
        <v>915</v>
      </c>
      <c r="I272" t="s">
        <v>39</v>
      </c>
      <c r="J272" t="s">
        <v>25</v>
      </c>
      <c r="K272" t="s">
        <v>302</v>
      </c>
      <c r="L272" t="s">
        <v>46</v>
      </c>
      <c r="M272" t="s">
        <v>60</v>
      </c>
      <c r="N272" t="s">
        <v>28</v>
      </c>
      <c r="O272" s="3"/>
      <c r="P272" s="3">
        <v>43194</v>
      </c>
      <c r="Q272" t="s">
        <v>29</v>
      </c>
      <c r="R272" s="7">
        <v>2</v>
      </c>
      <c r="S272" s="7">
        <v>0</v>
      </c>
      <c r="T272" t="s">
        <v>28</v>
      </c>
      <c r="U272" t="s">
        <v>1607</v>
      </c>
      <c r="V272" t="str">
        <f>_xlfn.XLOOKUP(U272, Mapping!$A$2:$A$48, Mapping!$B$2:$B$48, "Unknown County")</f>
        <v>Central</v>
      </c>
    </row>
    <row r="273" spans="1:22" x14ac:dyDescent="0.3">
      <c r="A273" t="s">
        <v>892</v>
      </c>
      <c r="B273" t="s">
        <v>58</v>
      </c>
      <c r="C273" s="3">
        <v>43200</v>
      </c>
      <c r="D273" t="s">
        <v>22</v>
      </c>
      <c r="E273" t="s">
        <v>28</v>
      </c>
      <c r="F273" s="7">
        <v>12</v>
      </c>
      <c r="H273" t="s">
        <v>916</v>
      </c>
      <c r="I273" t="s">
        <v>82</v>
      </c>
      <c r="J273" t="s">
        <v>28</v>
      </c>
      <c r="K273" t="s">
        <v>26</v>
      </c>
      <c r="L273" t="s">
        <v>165</v>
      </c>
      <c r="M273" t="s">
        <v>28</v>
      </c>
      <c r="N273" t="s">
        <v>35</v>
      </c>
      <c r="O273" s="3"/>
      <c r="Q273" t="s">
        <v>28</v>
      </c>
      <c r="T273" t="s">
        <v>917</v>
      </c>
      <c r="U273" t="s">
        <v>1607</v>
      </c>
      <c r="V273" t="str">
        <f>_xlfn.XLOOKUP(U273, Mapping!$A$2:$A$48, Mapping!$B$2:$B$48, "Unknown County")</f>
        <v>Central</v>
      </c>
    </row>
    <row r="274" spans="1:22" x14ac:dyDescent="0.3">
      <c r="A274" t="s">
        <v>918</v>
      </c>
      <c r="B274" t="s">
        <v>63</v>
      </c>
      <c r="C274" s="3">
        <v>43269</v>
      </c>
      <c r="D274" t="s">
        <v>22</v>
      </c>
      <c r="E274" t="s">
        <v>919</v>
      </c>
      <c r="F274" s="7">
        <v>73</v>
      </c>
      <c r="H274" t="s">
        <v>28</v>
      </c>
      <c r="I274" t="s">
        <v>82</v>
      </c>
      <c r="J274" t="s">
        <v>28</v>
      </c>
      <c r="K274" t="s">
        <v>84</v>
      </c>
      <c r="L274" t="s">
        <v>165</v>
      </c>
      <c r="M274" t="s">
        <v>183</v>
      </c>
      <c r="N274" t="s">
        <v>35</v>
      </c>
      <c r="O274" s="3"/>
      <c r="Q274" t="s">
        <v>28</v>
      </c>
      <c r="T274" t="s">
        <v>920</v>
      </c>
      <c r="U274" t="s">
        <v>1607</v>
      </c>
      <c r="V274" t="str">
        <f>_xlfn.XLOOKUP(U274, Mapping!$A$2:$A$48, Mapping!$B$2:$B$48, "Unknown County")</f>
        <v>Central</v>
      </c>
    </row>
    <row r="275" spans="1:22" x14ac:dyDescent="0.3">
      <c r="A275" t="s">
        <v>892</v>
      </c>
      <c r="B275" t="s">
        <v>58</v>
      </c>
      <c r="C275" s="3">
        <v>43391</v>
      </c>
      <c r="D275" t="s">
        <v>22</v>
      </c>
      <c r="E275" t="s">
        <v>921</v>
      </c>
      <c r="F275" s="7">
        <v>32</v>
      </c>
      <c r="H275" t="s">
        <v>28</v>
      </c>
      <c r="I275" t="s">
        <v>70</v>
      </c>
      <c r="J275" t="s">
        <v>25</v>
      </c>
      <c r="K275" t="s">
        <v>26</v>
      </c>
      <c r="L275" t="s">
        <v>40</v>
      </c>
      <c r="M275" t="s">
        <v>28</v>
      </c>
      <c r="N275" t="s">
        <v>35</v>
      </c>
      <c r="O275" s="3"/>
      <c r="Q275" t="s">
        <v>28</v>
      </c>
      <c r="T275" t="s">
        <v>922</v>
      </c>
      <c r="U275" t="s">
        <v>1607</v>
      </c>
      <c r="V275" t="str">
        <f>_xlfn.XLOOKUP(U275, Mapping!$A$2:$A$48, Mapping!$B$2:$B$48, "Unknown County")</f>
        <v>Central</v>
      </c>
    </row>
    <row r="276" spans="1:22" x14ac:dyDescent="0.3">
      <c r="A276" t="s">
        <v>894</v>
      </c>
      <c r="B276" t="s">
        <v>21</v>
      </c>
      <c r="C276" s="3">
        <v>43494</v>
      </c>
      <c r="D276" t="s">
        <v>22</v>
      </c>
      <c r="E276" t="s">
        <v>923</v>
      </c>
      <c r="F276" s="7">
        <v>80</v>
      </c>
      <c r="H276" t="s">
        <v>28</v>
      </c>
      <c r="I276" t="s">
        <v>94</v>
      </c>
      <c r="J276" t="s">
        <v>83</v>
      </c>
      <c r="K276" t="s">
        <v>84</v>
      </c>
      <c r="L276" t="s">
        <v>27</v>
      </c>
      <c r="M276" t="s">
        <v>28</v>
      </c>
      <c r="N276" t="s">
        <v>35</v>
      </c>
      <c r="O276" s="3"/>
      <c r="Q276" t="s">
        <v>28</v>
      </c>
      <c r="T276" t="s">
        <v>924</v>
      </c>
      <c r="U276" t="s">
        <v>1607</v>
      </c>
      <c r="V276" t="str">
        <f>_xlfn.XLOOKUP(U276, Mapping!$A$2:$A$48, Mapping!$B$2:$B$48, "Unknown County")</f>
        <v>Central</v>
      </c>
    </row>
    <row r="277" spans="1:22" x14ac:dyDescent="0.3">
      <c r="A277" t="s">
        <v>28</v>
      </c>
      <c r="B277" t="s">
        <v>63</v>
      </c>
      <c r="D277" t="s">
        <v>22</v>
      </c>
      <c r="E277" t="s">
        <v>925</v>
      </c>
      <c r="F277" s="7">
        <v>56</v>
      </c>
      <c r="H277" t="s">
        <v>28</v>
      </c>
      <c r="I277" t="s">
        <v>94</v>
      </c>
      <c r="J277" t="s">
        <v>28</v>
      </c>
      <c r="K277" t="s">
        <v>28</v>
      </c>
      <c r="L277" t="s">
        <v>46</v>
      </c>
      <c r="M277" t="s">
        <v>28</v>
      </c>
      <c r="N277" t="s">
        <v>28</v>
      </c>
      <c r="O277" s="3"/>
      <c r="Q277" t="s">
        <v>28</v>
      </c>
      <c r="T277" t="s">
        <v>926</v>
      </c>
      <c r="U277" t="s">
        <v>1607</v>
      </c>
      <c r="V277" t="str">
        <f>_xlfn.XLOOKUP(U277, Mapping!$A$2:$A$48, Mapping!$B$2:$B$48, "Unknown County")</f>
        <v>Central</v>
      </c>
    </row>
    <row r="278" spans="1:22" x14ac:dyDescent="0.3">
      <c r="A278" t="s">
        <v>892</v>
      </c>
      <c r="B278" t="s">
        <v>58</v>
      </c>
      <c r="C278" s="3">
        <v>44523</v>
      </c>
      <c r="D278" t="s">
        <v>22</v>
      </c>
      <c r="E278" t="s">
        <v>927</v>
      </c>
      <c r="F278" s="7">
        <v>27</v>
      </c>
      <c r="H278" t="s">
        <v>928</v>
      </c>
      <c r="I278" t="s">
        <v>70</v>
      </c>
      <c r="J278" t="s">
        <v>25</v>
      </c>
      <c r="K278" t="s">
        <v>84</v>
      </c>
      <c r="L278" t="s">
        <v>59</v>
      </c>
      <c r="M278" t="s">
        <v>60</v>
      </c>
      <c r="N278" t="s">
        <v>35</v>
      </c>
      <c r="O278" s="3"/>
      <c r="Q278" t="s">
        <v>28</v>
      </c>
      <c r="T278" t="s">
        <v>929</v>
      </c>
      <c r="U278" t="s">
        <v>1607</v>
      </c>
      <c r="V278" t="str">
        <f>_xlfn.XLOOKUP(U278, Mapping!$A$2:$A$48, Mapping!$B$2:$B$48, "Unknown County")</f>
        <v>Central</v>
      </c>
    </row>
    <row r="279" spans="1:22" x14ac:dyDescent="0.3">
      <c r="A279" t="s">
        <v>81</v>
      </c>
      <c r="B279" t="s">
        <v>21</v>
      </c>
      <c r="C279" s="3">
        <v>44839</v>
      </c>
      <c r="D279" t="s">
        <v>22</v>
      </c>
      <c r="E279" t="s">
        <v>930</v>
      </c>
      <c r="F279" s="7">
        <v>90</v>
      </c>
      <c r="H279" t="s">
        <v>28</v>
      </c>
      <c r="I279" t="s">
        <v>82</v>
      </c>
      <c r="J279" t="s">
        <v>83</v>
      </c>
      <c r="K279" t="s">
        <v>84</v>
      </c>
      <c r="L279" t="s">
        <v>59</v>
      </c>
      <c r="M279" t="s">
        <v>28</v>
      </c>
      <c r="N279" t="s">
        <v>35</v>
      </c>
      <c r="O279" s="3"/>
      <c r="Q279" t="s">
        <v>28</v>
      </c>
      <c r="T279" t="s">
        <v>931</v>
      </c>
      <c r="U279" t="s">
        <v>1607</v>
      </c>
      <c r="V279" t="str">
        <f>_xlfn.XLOOKUP(U279, Mapping!$A$2:$A$48, Mapping!$B$2:$B$48, "Unknown County")</f>
        <v>Central</v>
      </c>
    </row>
    <row r="280" spans="1:22" x14ac:dyDescent="0.3">
      <c r="A280" t="s">
        <v>894</v>
      </c>
      <c r="B280" t="s">
        <v>21</v>
      </c>
      <c r="C280" s="3">
        <v>45057</v>
      </c>
      <c r="D280" t="s">
        <v>22</v>
      </c>
      <c r="E280" t="s">
        <v>932</v>
      </c>
      <c r="F280" s="7">
        <v>44</v>
      </c>
      <c r="G280" s="3">
        <v>45057</v>
      </c>
      <c r="H280" t="s">
        <v>933</v>
      </c>
      <c r="I280" t="s">
        <v>70</v>
      </c>
      <c r="J280" t="s">
        <v>25</v>
      </c>
      <c r="K280" t="s">
        <v>71</v>
      </c>
      <c r="L280" t="s">
        <v>59</v>
      </c>
      <c r="M280" t="s">
        <v>505</v>
      </c>
      <c r="N280" t="s">
        <v>35</v>
      </c>
      <c r="O280" s="3"/>
      <c r="Q280" t="s">
        <v>28</v>
      </c>
      <c r="T280" t="s">
        <v>934</v>
      </c>
      <c r="U280" t="s">
        <v>1607</v>
      </c>
      <c r="V280" t="str">
        <f>_xlfn.XLOOKUP(U280, Mapping!$A$2:$A$48, Mapping!$B$2:$B$48, "Unknown County")</f>
        <v>Central</v>
      </c>
    </row>
    <row r="281" spans="1:22" x14ac:dyDescent="0.3">
      <c r="A281" t="s">
        <v>28</v>
      </c>
      <c r="B281" t="s">
        <v>935</v>
      </c>
      <c r="C281" s="3">
        <v>45161</v>
      </c>
      <c r="D281" t="s">
        <v>22</v>
      </c>
      <c r="E281" t="s">
        <v>936</v>
      </c>
      <c r="F281" s="7"/>
      <c r="H281" t="s">
        <v>28</v>
      </c>
      <c r="I281" t="s">
        <v>39</v>
      </c>
      <c r="J281" t="s">
        <v>88</v>
      </c>
      <c r="K281" t="s">
        <v>71</v>
      </c>
      <c r="L281" t="s">
        <v>40</v>
      </c>
      <c r="M281" t="s">
        <v>937</v>
      </c>
      <c r="N281" t="s">
        <v>35</v>
      </c>
      <c r="O281" s="3"/>
      <c r="Q281" t="s">
        <v>28</v>
      </c>
      <c r="T281" t="s">
        <v>938</v>
      </c>
      <c r="U281" t="s">
        <v>1607</v>
      </c>
      <c r="V281" t="str">
        <f>_xlfn.XLOOKUP(U281, Mapping!$A$2:$A$48, Mapping!$B$2:$B$48, "Unknown County")</f>
        <v>Central</v>
      </c>
    </row>
    <row r="282" spans="1:22" x14ac:dyDescent="0.3">
      <c r="A282" t="s">
        <v>939</v>
      </c>
      <c r="B282" t="s">
        <v>63</v>
      </c>
      <c r="C282" s="3">
        <v>45256</v>
      </c>
      <c r="D282" t="s">
        <v>22</v>
      </c>
      <c r="E282" t="s">
        <v>940</v>
      </c>
      <c r="F282" s="7">
        <v>68</v>
      </c>
      <c r="H282" t="s">
        <v>941</v>
      </c>
      <c r="I282" t="s">
        <v>94</v>
      </c>
      <c r="J282" t="s">
        <v>83</v>
      </c>
      <c r="K282" t="s">
        <v>71</v>
      </c>
      <c r="L282" t="s">
        <v>33</v>
      </c>
      <c r="M282" t="s">
        <v>942</v>
      </c>
      <c r="N282" t="s">
        <v>943</v>
      </c>
      <c r="O282" s="3"/>
      <c r="Q282" t="s">
        <v>28</v>
      </c>
      <c r="T282" t="s">
        <v>944</v>
      </c>
      <c r="U282" t="s">
        <v>1607</v>
      </c>
      <c r="V282" t="str">
        <f>_xlfn.XLOOKUP(U282, Mapping!$A$2:$A$48, Mapping!$B$2:$B$48, "Unknown County")</f>
        <v>Central</v>
      </c>
    </row>
    <row r="283" spans="1:22" x14ac:dyDescent="0.3">
      <c r="A283" t="s">
        <v>20</v>
      </c>
      <c r="B283" t="s">
        <v>21</v>
      </c>
      <c r="C283" s="3">
        <v>44166</v>
      </c>
      <c r="D283" t="s">
        <v>22</v>
      </c>
      <c r="E283" t="s">
        <v>945</v>
      </c>
      <c r="F283" s="7">
        <v>20</v>
      </c>
      <c r="H283" t="s">
        <v>946</v>
      </c>
      <c r="I283" t="s">
        <v>82</v>
      </c>
      <c r="J283" t="s">
        <v>28</v>
      </c>
      <c r="K283" t="s">
        <v>28</v>
      </c>
      <c r="L283" t="s">
        <v>46</v>
      </c>
      <c r="M283" t="s">
        <v>28</v>
      </c>
      <c r="N283" t="s">
        <v>35</v>
      </c>
      <c r="O283" s="3"/>
      <c r="Q283" t="s">
        <v>28</v>
      </c>
      <c r="T283" t="s">
        <v>947</v>
      </c>
      <c r="U283" t="s">
        <v>948</v>
      </c>
      <c r="V283" t="str">
        <f>_xlfn.XLOOKUP(U283, Mapping!$A$2:$A$48, Mapping!$B$2:$B$48, "Unknown County")</f>
        <v>Nairobi</v>
      </c>
    </row>
    <row r="284" spans="1:22" x14ac:dyDescent="0.3">
      <c r="A284" t="s">
        <v>949</v>
      </c>
      <c r="B284" t="s">
        <v>58</v>
      </c>
      <c r="C284" s="3">
        <v>42880</v>
      </c>
      <c r="D284" t="s">
        <v>22</v>
      </c>
      <c r="E284" t="s">
        <v>950</v>
      </c>
      <c r="F284" s="7"/>
      <c r="G284" s="3">
        <v>40664</v>
      </c>
      <c r="H284" t="s">
        <v>951</v>
      </c>
      <c r="I284" t="s">
        <v>39</v>
      </c>
      <c r="J284" t="s">
        <v>25</v>
      </c>
      <c r="K284" t="s">
        <v>26</v>
      </c>
      <c r="L284" t="s">
        <v>40</v>
      </c>
      <c r="M284" t="s">
        <v>34</v>
      </c>
      <c r="N284" t="s">
        <v>28</v>
      </c>
      <c r="O284" s="3"/>
      <c r="P284" s="3">
        <v>43378</v>
      </c>
      <c r="Q284" t="s">
        <v>29</v>
      </c>
      <c r="R284" s="7">
        <v>10</v>
      </c>
      <c r="S284" s="7">
        <v>2714</v>
      </c>
      <c r="T284" t="s">
        <v>952</v>
      </c>
      <c r="U284" t="s">
        <v>948</v>
      </c>
      <c r="V284" t="str">
        <f>_xlfn.XLOOKUP(U284, Mapping!$A$2:$A$48, Mapping!$B$2:$B$48, "Unknown County")</f>
        <v>Nairobi</v>
      </c>
    </row>
    <row r="285" spans="1:22" x14ac:dyDescent="0.3">
      <c r="A285" t="s">
        <v>953</v>
      </c>
      <c r="B285" t="s">
        <v>63</v>
      </c>
      <c r="C285" s="3">
        <v>42650</v>
      </c>
      <c r="D285" t="s">
        <v>22</v>
      </c>
      <c r="E285" t="s">
        <v>954</v>
      </c>
      <c r="F285" s="7"/>
      <c r="H285" t="s">
        <v>955</v>
      </c>
      <c r="I285" t="s">
        <v>82</v>
      </c>
      <c r="J285" t="s">
        <v>28</v>
      </c>
      <c r="K285" t="s">
        <v>84</v>
      </c>
      <c r="L285" t="s">
        <v>46</v>
      </c>
      <c r="M285" t="s">
        <v>28</v>
      </c>
      <c r="N285" t="s">
        <v>28</v>
      </c>
      <c r="O285" s="3"/>
      <c r="P285" s="3">
        <v>42650</v>
      </c>
      <c r="Q285" t="s">
        <v>54</v>
      </c>
      <c r="R285" s="7">
        <v>0</v>
      </c>
      <c r="S285" s="7">
        <v>1939</v>
      </c>
      <c r="T285" t="s">
        <v>956</v>
      </c>
      <c r="U285" t="s">
        <v>948</v>
      </c>
      <c r="V285" t="str">
        <f>_xlfn.XLOOKUP(U285, Mapping!$A$2:$A$48, Mapping!$B$2:$B$48, "Unknown County")</f>
        <v>Nairobi</v>
      </c>
    </row>
    <row r="286" spans="1:22" x14ac:dyDescent="0.3">
      <c r="A286" t="s">
        <v>957</v>
      </c>
      <c r="B286" t="s">
        <v>63</v>
      </c>
      <c r="C286" s="3">
        <v>43242</v>
      </c>
      <c r="D286" t="s">
        <v>22</v>
      </c>
      <c r="E286" t="s">
        <v>958</v>
      </c>
      <c r="F286" s="7"/>
      <c r="H286" t="s">
        <v>959</v>
      </c>
      <c r="I286" t="s">
        <v>70</v>
      </c>
      <c r="J286" t="s">
        <v>25</v>
      </c>
      <c r="K286" t="s">
        <v>26</v>
      </c>
      <c r="L286" t="s">
        <v>165</v>
      </c>
      <c r="M286" t="s">
        <v>28</v>
      </c>
      <c r="N286" t="s">
        <v>35</v>
      </c>
      <c r="O286" s="3"/>
      <c r="Q286" t="s">
        <v>28</v>
      </c>
      <c r="T286" t="s">
        <v>960</v>
      </c>
      <c r="U286" t="s">
        <v>948</v>
      </c>
      <c r="V286" t="str">
        <f>_xlfn.XLOOKUP(U286, Mapping!$A$2:$A$48, Mapping!$B$2:$B$48, "Unknown County")</f>
        <v>Nairobi</v>
      </c>
    </row>
    <row r="287" spans="1:22" x14ac:dyDescent="0.3">
      <c r="A287" t="s">
        <v>961</v>
      </c>
      <c r="B287" t="s">
        <v>63</v>
      </c>
      <c r="C287" s="3">
        <v>43434</v>
      </c>
      <c r="D287" t="s">
        <v>22</v>
      </c>
      <c r="E287" t="s">
        <v>962</v>
      </c>
      <c r="F287" s="7">
        <v>19</v>
      </c>
      <c r="H287" t="s">
        <v>963</v>
      </c>
      <c r="I287" t="s">
        <v>70</v>
      </c>
      <c r="J287" t="s">
        <v>25</v>
      </c>
      <c r="K287" t="s">
        <v>26</v>
      </c>
      <c r="L287" t="s">
        <v>59</v>
      </c>
      <c r="M287" t="s">
        <v>964</v>
      </c>
      <c r="N287" t="s">
        <v>28</v>
      </c>
      <c r="O287" s="3">
        <v>40976</v>
      </c>
      <c r="P287" s="3">
        <v>43434</v>
      </c>
      <c r="Q287" t="s">
        <v>29</v>
      </c>
      <c r="S287" s="7">
        <v>2468</v>
      </c>
      <c r="T287" t="s">
        <v>965</v>
      </c>
      <c r="U287" t="s">
        <v>948</v>
      </c>
      <c r="V287" t="str">
        <f>_xlfn.XLOOKUP(U287, Mapping!$A$2:$A$48, Mapping!$B$2:$B$48, "Unknown County")</f>
        <v>Nairobi</v>
      </c>
    </row>
    <row r="288" spans="1:22" x14ac:dyDescent="0.3">
      <c r="A288" t="s">
        <v>966</v>
      </c>
      <c r="B288" t="s">
        <v>21</v>
      </c>
      <c r="C288" s="3">
        <v>44054</v>
      </c>
      <c r="D288" t="s">
        <v>22</v>
      </c>
      <c r="E288" t="s">
        <v>967</v>
      </c>
      <c r="F288" s="7"/>
      <c r="H288" t="s">
        <v>968</v>
      </c>
      <c r="I288" t="s">
        <v>70</v>
      </c>
      <c r="J288" t="s">
        <v>25</v>
      </c>
      <c r="K288" t="s">
        <v>84</v>
      </c>
      <c r="L288" t="s">
        <v>59</v>
      </c>
      <c r="M288" t="s">
        <v>34</v>
      </c>
      <c r="N288" t="s">
        <v>28</v>
      </c>
      <c r="O288" s="3"/>
      <c r="P288" s="3">
        <v>44054</v>
      </c>
      <c r="Q288" t="s">
        <v>29</v>
      </c>
      <c r="S288" s="7">
        <v>3077</v>
      </c>
      <c r="T288" t="s">
        <v>969</v>
      </c>
      <c r="U288" t="s">
        <v>948</v>
      </c>
      <c r="V288" t="str">
        <f>_xlfn.XLOOKUP(U288, Mapping!$A$2:$A$48, Mapping!$B$2:$B$48, "Unknown County")</f>
        <v>Nairobi</v>
      </c>
    </row>
    <row r="289" spans="1:22" x14ac:dyDescent="0.3">
      <c r="A289" t="s">
        <v>218</v>
      </c>
      <c r="B289" t="s">
        <v>63</v>
      </c>
      <c r="C289" s="3">
        <v>44011</v>
      </c>
      <c r="D289" t="s">
        <v>22</v>
      </c>
      <c r="E289" t="s">
        <v>970</v>
      </c>
      <c r="F289" s="7">
        <v>40</v>
      </c>
      <c r="H289" t="s">
        <v>971</v>
      </c>
      <c r="I289" t="s">
        <v>39</v>
      </c>
      <c r="J289" t="s">
        <v>25</v>
      </c>
      <c r="K289" t="s">
        <v>71</v>
      </c>
      <c r="L289" t="s">
        <v>139</v>
      </c>
      <c r="M289" t="s">
        <v>505</v>
      </c>
      <c r="N289" t="s">
        <v>972</v>
      </c>
      <c r="O289" s="3"/>
      <c r="Q289" t="s">
        <v>28</v>
      </c>
      <c r="T289" t="s">
        <v>973</v>
      </c>
      <c r="U289" t="s">
        <v>948</v>
      </c>
      <c r="V289" t="str">
        <f>_xlfn.XLOOKUP(U289, Mapping!$A$2:$A$48, Mapping!$B$2:$B$48, "Unknown County")</f>
        <v>Nairobi</v>
      </c>
    </row>
    <row r="290" spans="1:22" x14ac:dyDescent="0.3">
      <c r="A290" t="s">
        <v>974</v>
      </c>
      <c r="B290" t="s">
        <v>21</v>
      </c>
      <c r="C290" s="3">
        <v>42894</v>
      </c>
      <c r="D290" t="s">
        <v>22</v>
      </c>
      <c r="E290" t="s">
        <v>975</v>
      </c>
      <c r="F290" s="7">
        <v>22</v>
      </c>
      <c r="H290" t="s">
        <v>976</v>
      </c>
      <c r="I290" t="s">
        <v>70</v>
      </c>
      <c r="J290" t="s">
        <v>25</v>
      </c>
      <c r="K290" t="s">
        <v>26</v>
      </c>
      <c r="L290" t="s">
        <v>27</v>
      </c>
      <c r="M290" t="s">
        <v>28</v>
      </c>
      <c r="N290" t="s">
        <v>28</v>
      </c>
      <c r="O290" s="3"/>
      <c r="Q290" t="s">
        <v>28</v>
      </c>
      <c r="T290" t="s">
        <v>977</v>
      </c>
      <c r="U290" t="s">
        <v>948</v>
      </c>
      <c r="V290" t="str">
        <f>_xlfn.XLOOKUP(U290, Mapping!$A$2:$A$48, Mapping!$B$2:$B$48, "Unknown County")</f>
        <v>Nairobi</v>
      </c>
    </row>
    <row r="291" spans="1:22" x14ac:dyDescent="0.3">
      <c r="A291" t="s">
        <v>978</v>
      </c>
      <c r="B291" t="s">
        <v>135</v>
      </c>
      <c r="C291" s="3">
        <v>43308</v>
      </c>
      <c r="D291" t="s">
        <v>22</v>
      </c>
      <c r="E291" t="s">
        <v>979</v>
      </c>
      <c r="F291" s="7"/>
      <c r="H291" t="s">
        <v>980</v>
      </c>
      <c r="I291" t="s">
        <v>70</v>
      </c>
      <c r="J291" t="s">
        <v>25</v>
      </c>
      <c r="K291" t="s">
        <v>594</v>
      </c>
      <c r="L291" t="s">
        <v>139</v>
      </c>
      <c r="M291" t="s">
        <v>34</v>
      </c>
      <c r="N291" t="s">
        <v>274</v>
      </c>
      <c r="O291" s="3">
        <v>41985</v>
      </c>
      <c r="P291" s="3">
        <v>43293</v>
      </c>
      <c r="Q291" t="s">
        <v>41</v>
      </c>
      <c r="R291" s="7">
        <v>20</v>
      </c>
      <c r="S291" s="7">
        <v>1309</v>
      </c>
      <c r="T291" t="s">
        <v>981</v>
      </c>
      <c r="U291" t="s">
        <v>948</v>
      </c>
      <c r="V291" t="str">
        <f>_xlfn.XLOOKUP(U291, Mapping!$A$2:$A$48, Mapping!$B$2:$B$48, "Unknown County")</f>
        <v>Nairobi</v>
      </c>
    </row>
    <row r="292" spans="1:22" x14ac:dyDescent="0.3">
      <c r="A292" t="s">
        <v>982</v>
      </c>
      <c r="B292" t="s">
        <v>21</v>
      </c>
      <c r="C292" s="3">
        <v>45078</v>
      </c>
      <c r="D292" t="s">
        <v>22</v>
      </c>
      <c r="E292" t="s">
        <v>983</v>
      </c>
      <c r="F292" s="7"/>
      <c r="H292" t="s">
        <v>984</v>
      </c>
      <c r="I292" t="s">
        <v>39</v>
      </c>
      <c r="J292" t="s">
        <v>25</v>
      </c>
      <c r="K292" t="s">
        <v>26</v>
      </c>
      <c r="L292" t="s">
        <v>165</v>
      </c>
      <c r="M292" t="s">
        <v>60</v>
      </c>
      <c r="N292" t="s">
        <v>35</v>
      </c>
      <c r="O292" s="3"/>
      <c r="P292" s="3">
        <v>45078</v>
      </c>
      <c r="Q292" t="s">
        <v>29</v>
      </c>
      <c r="R292" s="7">
        <v>20</v>
      </c>
      <c r="S292" s="7">
        <v>2914</v>
      </c>
      <c r="T292" t="s">
        <v>981</v>
      </c>
      <c r="U292" t="s">
        <v>948</v>
      </c>
      <c r="V292" t="str">
        <f>_xlfn.XLOOKUP(U292, Mapping!$A$2:$A$48, Mapping!$B$2:$B$48, "Unknown County")</f>
        <v>Nairobi</v>
      </c>
    </row>
    <row r="293" spans="1:22" x14ac:dyDescent="0.3">
      <c r="A293" t="s">
        <v>985</v>
      </c>
      <c r="B293" t="s">
        <v>58</v>
      </c>
      <c r="C293" s="3">
        <v>42370</v>
      </c>
      <c r="D293" t="s">
        <v>22</v>
      </c>
      <c r="E293" t="s">
        <v>986</v>
      </c>
      <c r="F293" s="7">
        <v>24</v>
      </c>
      <c r="H293" t="s">
        <v>987</v>
      </c>
      <c r="I293" t="s">
        <v>70</v>
      </c>
      <c r="J293" t="s">
        <v>25</v>
      </c>
      <c r="K293" t="s">
        <v>71</v>
      </c>
      <c r="L293" t="s">
        <v>59</v>
      </c>
      <c r="M293" t="s">
        <v>373</v>
      </c>
      <c r="N293" t="s">
        <v>28</v>
      </c>
      <c r="O293" s="3">
        <v>42376</v>
      </c>
      <c r="P293" s="3">
        <v>44098</v>
      </c>
      <c r="Q293" t="s">
        <v>41</v>
      </c>
      <c r="R293" s="7">
        <v>10</v>
      </c>
      <c r="S293" s="7">
        <v>1738</v>
      </c>
      <c r="T293" t="s">
        <v>988</v>
      </c>
      <c r="U293" t="s">
        <v>948</v>
      </c>
      <c r="V293" t="str">
        <f>_xlfn.XLOOKUP(U293, Mapping!$A$2:$A$48, Mapping!$B$2:$B$48, "Unknown County")</f>
        <v>Nairobi</v>
      </c>
    </row>
    <row r="294" spans="1:22" x14ac:dyDescent="0.3">
      <c r="A294" t="s">
        <v>455</v>
      </c>
      <c r="B294" t="s">
        <v>143</v>
      </c>
      <c r="C294" s="3">
        <v>42416</v>
      </c>
      <c r="D294" t="s">
        <v>22</v>
      </c>
      <c r="E294" t="s">
        <v>989</v>
      </c>
      <c r="F294" s="7">
        <v>19</v>
      </c>
      <c r="H294" t="s">
        <v>990</v>
      </c>
      <c r="I294" t="s">
        <v>70</v>
      </c>
      <c r="J294" t="s">
        <v>25</v>
      </c>
      <c r="K294" t="s">
        <v>71</v>
      </c>
      <c r="L294" t="s">
        <v>40</v>
      </c>
      <c r="M294" t="s">
        <v>28</v>
      </c>
      <c r="N294" t="s">
        <v>1384</v>
      </c>
      <c r="O294" s="3">
        <v>42416</v>
      </c>
      <c r="Q294" t="s">
        <v>28</v>
      </c>
      <c r="T294" t="s">
        <v>991</v>
      </c>
      <c r="U294" t="s">
        <v>948</v>
      </c>
      <c r="V294" t="str">
        <f>_xlfn.XLOOKUP(U294, Mapping!$A$2:$A$48, Mapping!$B$2:$B$48, "Unknown County")</f>
        <v>Nairobi</v>
      </c>
    </row>
    <row r="295" spans="1:22" x14ac:dyDescent="0.3">
      <c r="A295" t="s">
        <v>992</v>
      </c>
      <c r="B295" t="s">
        <v>58</v>
      </c>
      <c r="C295" s="3">
        <v>42434</v>
      </c>
      <c r="D295" t="s">
        <v>22</v>
      </c>
      <c r="E295" t="s">
        <v>993</v>
      </c>
      <c r="F295" s="7">
        <v>54</v>
      </c>
      <c r="H295" t="s">
        <v>994</v>
      </c>
      <c r="I295" t="s">
        <v>70</v>
      </c>
      <c r="J295" t="s">
        <v>25</v>
      </c>
      <c r="K295" t="s">
        <v>26</v>
      </c>
      <c r="L295" t="s">
        <v>33</v>
      </c>
      <c r="M295" t="s">
        <v>28</v>
      </c>
      <c r="N295" t="s">
        <v>28</v>
      </c>
      <c r="O295" s="3"/>
      <c r="Q295" t="s">
        <v>28</v>
      </c>
      <c r="T295" t="s">
        <v>995</v>
      </c>
      <c r="U295" t="s">
        <v>948</v>
      </c>
      <c r="V295" t="str">
        <f>_xlfn.XLOOKUP(U295, Mapping!$A$2:$A$48, Mapping!$B$2:$B$48, "Unknown County")</f>
        <v>Nairobi</v>
      </c>
    </row>
    <row r="296" spans="1:22" x14ac:dyDescent="0.3">
      <c r="A296" t="s">
        <v>996</v>
      </c>
      <c r="B296" t="s">
        <v>21</v>
      </c>
      <c r="C296" s="3">
        <v>42696</v>
      </c>
      <c r="D296" t="s">
        <v>22</v>
      </c>
      <c r="E296" t="s">
        <v>997</v>
      </c>
      <c r="F296" s="7">
        <v>43</v>
      </c>
      <c r="H296" t="s">
        <v>998</v>
      </c>
      <c r="I296" t="s">
        <v>70</v>
      </c>
      <c r="J296" t="s">
        <v>25</v>
      </c>
      <c r="K296" t="s">
        <v>26</v>
      </c>
      <c r="L296" t="s">
        <v>139</v>
      </c>
      <c r="M296" t="s">
        <v>28</v>
      </c>
      <c r="N296" t="s">
        <v>1384</v>
      </c>
      <c r="O296" s="3">
        <v>42765</v>
      </c>
      <c r="Q296" t="s">
        <v>28</v>
      </c>
      <c r="T296" t="s">
        <v>999</v>
      </c>
      <c r="U296" t="s">
        <v>948</v>
      </c>
      <c r="V296" t="str">
        <f>_xlfn.XLOOKUP(U296, Mapping!$A$2:$A$48, Mapping!$B$2:$B$48, "Unknown County")</f>
        <v>Nairobi</v>
      </c>
    </row>
    <row r="297" spans="1:22" x14ac:dyDescent="0.3">
      <c r="A297" t="s">
        <v>438</v>
      </c>
      <c r="B297" t="s">
        <v>143</v>
      </c>
      <c r="C297" s="3">
        <v>42576</v>
      </c>
      <c r="D297" t="s">
        <v>22</v>
      </c>
      <c r="E297" t="s">
        <v>1000</v>
      </c>
      <c r="F297" s="7">
        <v>22</v>
      </c>
      <c r="H297" t="s">
        <v>1001</v>
      </c>
      <c r="I297" t="s">
        <v>70</v>
      </c>
      <c r="J297" t="s">
        <v>45</v>
      </c>
      <c r="K297" t="s">
        <v>71</v>
      </c>
      <c r="L297" t="s">
        <v>59</v>
      </c>
      <c r="M297" t="s">
        <v>28</v>
      </c>
      <c r="N297" t="s">
        <v>28</v>
      </c>
      <c r="O297" s="3"/>
      <c r="Q297" t="s">
        <v>28</v>
      </c>
      <c r="T297" t="s">
        <v>423</v>
      </c>
      <c r="U297" t="s">
        <v>948</v>
      </c>
      <c r="V297" t="str">
        <f>_xlfn.XLOOKUP(U297, Mapping!$A$2:$A$48, Mapping!$B$2:$B$48, "Unknown County")</f>
        <v>Nairobi</v>
      </c>
    </row>
    <row r="298" spans="1:22" x14ac:dyDescent="0.3">
      <c r="A298" t="s">
        <v>974</v>
      </c>
      <c r="B298" t="s">
        <v>21</v>
      </c>
      <c r="C298" s="3">
        <v>42684</v>
      </c>
      <c r="D298" t="s">
        <v>22</v>
      </c>
      <c r="E298" t="s">
        <v>1002</v>
      </c>
      <c r="F298" s="7">
        <v>31</v>
      </c>
      <c r="H298" t="s">
        <v>1003</v>
      </c>
      <c r="I298" t="s">
        <v>39</v>
      </c>
      <c r="J298" t="s">
        <v>25</v>
      </c>
      <c r="K298" t="s">
        <v>26</v>
      </c>
      <c r="L298" t="s">
        <v>59</v>
      </c>
      <c r="M298" t="s">
        <v>34</v>
      </c>
      <c r="N298" t="s">
        <v>35</v>
      </c>
      <c r="O298" s="3"/>
      <c r="Q298" t="s">
        <v>28</v>
      </c>
      <c r="T298" t="s">
        <v>1004</v>
      </c>
      <c r="U298" t="s">
        <v>948</v>
      </c>
      <c r="V298" t="str">
        <f>_xlfn.XLOOKUP(U298, Mapping!$A$2:$A$48, Mapping!$B$2:$B$48, "Unknown County")</f>
        <v>Nairobi</v>
      </c>
    </row>
    <row r="299" spans="1:22" x14ac:dyDescent="0.3">
      <c r="A299" t="s">
        <v>1005</v>
      </c>
      <c r="B299" t="s">
        <v>58</v>
      </c>
      <c r="C299" s="3">
        <v>42696</v>
      </c>
      <c r="D299" t="s">
        <v>22</v>
      </c>
      <c r="E299" t="s">
        <v>1006</v>
      </c>
      <c r="F299" s="7">
        <v>32</v>
      </c>
      <c r="H299" t="s">
        <v>1007</v>
      </c>
      <c r="I299" t="s">
        <v>39</v>
      </c>
      <c r="J299" t="s">
        <v>45</v>
      </c>
      <c r="K299" t="s">
        <v>71</v>
      </c>
      <c r="L299" t="s">
        <v>59</v>
      </c>
      <c r="M299" t="s">
        <v>28</v>
      </c>
      <c r="N299" t="s">
        <v>28</v>
      </c>
      <c r="O299" s="3"/>
      <c r="Q299" t="s">
        <v>28</v>
      </c>
      <c r="T299" t="s">
        <v>1008</v>
      </c>
      <c r="U299" t="s">
        <v>948</v>
      </c>
      <c r="V299" t="str">
        <f>_xlfn.XLOOKUP(U299, Mapping!$A$2:$A$48, Mapping!$B$2:$B$48, "Unknown County")</f>
        <v>Nairobi</v>
      </c>
    </row>
    <row r="300" spans="1:22" x14ac:dyDescent="0.3">
      <c r="A300" t="s">
        <v>192</v>
      </c>
      <c r="B300" t="s">
        <v>135</v>
      </c>
      <c r="C300" s="3">
        <v>44042</v>
      </c>
      <c r="D300" t="s">
        <v>22</v>
      </c>
      <c r="E300" t="s">
        <v>1009</v>
      </c>
      <c r="F300" s="7">
        <v>22</v>
      </c>
      <c r="H300" t="s">
        <v>1010</v>
      </c>
      <c r="I300" t="s">
        <v>94</v>
      </c>
      <c r="J300" t="s">
        <v>650</v>
      </c>
      <c r="K300" t="s">
        <v>71</v>
      </c>
      <c r="L300" t="s">
        <v>46</v>
      </c>
      <c r="M300" t="s">
        <v>28</v>
      </c>
      <c r="N300" t="s">
        <v>28</v>
      </c>
      <c r="O300" s="3"/>
      <c r="P300" s="3">
        <v>42943</v>
      </c>
      <c r="Q300" t="s">
        <v>41</v>
      </c>
      <c r="S300" s="7">
        <v>183</v>
      </c>
      <c r="T300" t="s">
        <v>1011</v>
      </c>
      <c r="U300" t="s">
        <v>948</v>
      </c>
      <c r="V300" t="str">
        <f>_xlfn.XLOOKUP(U300, Mapping!$A$2:$A$48, Mapping!$B$2:$B$48, "Unknown County")</f>
        <v>Nairobi</v>
      </c>
    </row>
    <row r="301" spans="1:22" x14ac:dyDescent="0.3">
      <c r="A301" t="s">
        <v>404</v>
      </c>
      <c r="B301" t="s">
        <v>21</v>
      </c>
      <c r="C301" s="3">
        <v>42894</v>
      </c>
      <c r="D301" t="s">
        <v>22</v>
      </c>
      <c r="E301" t="s">
        <v>1012</v>
      </c>
      <c r="F301" s="7"/>
      <c r="G301" s="3">
        <v>42869</v>
      </c>
      <c r="H301" t="s">
        <v>1013</v>
      </c>
      <c r="I301" t="s">
        <v>39</v>
      </c>
      <c r="J301" t="s">
        <v>25</v>
      </c>
      <c r="K301" t="s">
        <v>26</v>
      </c>
      <c r="L301" t="s">
        <v>40</v>
      </c>
      <c r="M301" t="s">
        <v>28</v>
      </c>
      <c r="N301" t="s">
        <v>1384</v>
      </c>
      <c r="O301" s="3">
        <v>42907</v>
      </c>
      <c r="Q301" t="s">
        <v>28</v>
      </c>
      <c r="T301" t="s">
        <v>1014</v>
      </c>
      <c r="U301" t="s">
        <v>948</v>
      </c>
      <c r="V301" t="str">
        <f>_xlfn.XLOOKUP(U301, Mapping!$A$2:$A$48, Mapping!$B$2:$B$48, "Unknown County")</f>
        <v>Nairobi</v>
      </c>
    </row>
    <row r="302" spans="1:22" x14ac:dyDescent="0.3">
      <c r="A302" t="s">
        <v>1015</v>
      </c>
      <c r="B302" t="s">
        <v>58</v>
      </c>
      <c r="C302" s="3">
        <v>42873</v>
      </c>
      <c r="D302" t="s">
        <v>22</v>
      </c>
      <c r="E302" t="s">
        <v>1016</v>
      </c>
      <c r="F302" s="7">
        <v>23</v>
      </c>
      <c r="G302" s="3">
        <v>42873</v>
      </c>
      <c r="H302" t="s">
        <v>1017</v>
      </c>
      <c r="I302" t="s">
        <v>39</v>
      </c>
      <c r="J302" t="s">
        <v>25</v>
      </c>
      <c r="K302" t="s">
        <v>26</v>
      </c>
      <c r="L302" t="s">
        <v>59</v>
      </c>
      <c r="M302" t="s">
        <v>34</v>
      </c>
      <c r="N302" t="s">
        <v>35</v>
      </c>
      <c r="O302" s="3"/>
      <c r="Q302" t="s">
        <v>28</v>
      </c>
      <c r="T302" t="s">
        <v>1018</v>
      </c>
      <c r="U302" t="s">
        <v>948</v>
      </c>
      <c r="V302" t="str">
        <f>_xlfn.XLOOKUP(U302, Mapping!$A$2:$A$48, Mapping!$B$2:$B$48, "Unknown County")</f>
        <v>Nairobi</v>
      </c>
    </row>
    <row r="303" spans="1:22" x14ac:dyDescent="0.3">
      <c r="A303" t="s">
        <v>442</v>
      </c>
      <c r="B303" t="s">
        <v>21</v>
      </c>
      <c r="C303" s="3">
        <v>42890</v>
      </c>
      <c r="D303" t="s">
        <v>22</v>
      </c>
      <c r="E303" t="s">
        <v>1019</v>
      </c>
      <c r="F303" s="7">
        <v>30</v>
      </c>
      <c r="H303" t="s">
        <v>1020</v>
      </c>
      <c r="I303" t="s">
        <v>39</v>
      </c>
      <c r="J303" t="s">
        <v>25</v>
      </c>
      <c r="K303" t="s">
        <v>26</v>
      </c>
      <c r="L303" t="s">
        <v>46</v>
      </c>
      <c r="M303" t="s">
        <v>34</v>
      </c>
      <c r="N303" t="s">
        <v>140</v>
      </c>
      <c r="O303" s="3"/>
      <c r="Q303" t="s">
        <v>28</v>
      </c>
      <c r="T303" t="s">
        <v>1021</v>
      </c>
      <c r="U303" t="s">
        <v>948</v>
      </c>
      <c r="V303" t="str">
        <f>_xlfn.XLOOKUP(U303, Mapping!$A$2:$A$48, Mapping!$B$2:$B$48, "Unknown County")</f>
        <v>Nairobi</v>
      </c>
    </row>
    <row r="304" spans="1:22" x14ac:dyDescent="0.3">
      <c r="A304" t="s">
        <v>974</v>
      </c>
      <c r="B304" t="s">
        <v>21</v>
      </c>
      <c r="C304" s="3">
        <v>42890</v>
      </c>
      <c r="D304" t="s">
        <v>22</v>
      </c>
      <c r="E304" t="s">
        <v>28</v>
      </c>
      <c r="F304" s="7"/>
      <c r="H304" t="s">
        <v>28</v>
      </c>
      <c r="I304" t="s">
        <v>39</v>
      </c>
      <c r="J304" t="s">
        <v>25</v>
      </c>
      <c r="K304" t="s">
        <v>26</v>
      </c>
      <c r="L304" t="s">
        <v>72</v>
      </c>
      <c r="M304" t="s">
        <v>60</v>
      </c>
      <c r="N304" t="s">
        <v>35</v>
      </c>
      <c r="O304" s="3"/>
      <c r="Q304" t="s">
        <v>28</v>
      </c>
      <c r="T304" t="s">
        <v>952</v>
      </c>
      <c r="U304" t="s">
        <v>948</v>
      </c>
      <c r="V304" t="str">
        <f>_xlfn.XLOOKUP(U304, Mapping!$A$2:$A$48, Mapping!$B$2:$B$48, "Unknown County")</f>
        <v>Nairobi</v>
      </c>
    </row>
    <row r="305" spans="1:22" x14ac:dyDescent="0.3">
      <c r="A305" t="s">
        <v>1022</v>
      </c>
      <c r="B305" t="s">
        <v>256</v>
      </c>
      <c r="C305" s="3">
        <v>42968</v>
      </c>
      <c r="D305" t="s">
        <v>22</v>
      </c>
      <c r="E305" t="s">
        <v>1023</v>
      </c>
      <c r="F305" s="7">
        <v>26</v>
      </c>
      <c r="H305" t="s">
        <v>1024</v>
      </c>
      <c r="I305" t="s">
        <v>70</v>
      </c>
      <c r="J305" t="s">
        <v>25</v>
      </c>
      <c r="K305" t="s">
        <v>84</v>
      </c>
      <c r="L305" t="s">
        <v>85</v>
      </c>
      <c r="M305" t="s">
        <v>373</v>
      </c>
      <c r="N305" t="s">
        <v>174</v>
      </c>
      <c r="O305" s="3">
        <v>42967</v>
      </c>
      <c r="Q305" t="s">
        <v>28</v>
      </c>
      <c r="T305" t="s">
        <v>1025</v>
      </c>
      <c r="U305" t="s">
        <v>948</v>
      </c>
      <c r="V305" t="str">
        <f>_xlfn.XLOOKUP(U305, Mapping!$A$2:$A$48, Mapping!$B$2:$B$48, "Unknown County")</f>
        <v>Nairobi</v>
      </c>
    </row>
    <row r="306" spans="1:22" x14ac:dyDescent="0.3">
      <c r="A306" t="s">
        <v>192</v>
      </c>
      <c r="B306" t="s">
        <v>58</v>
      </c>
      <c r="C306" s="3">
        <v>42996</v>
      </c>
      <c r="D306" t="s">
        <v>22</v>
      </c>
      <c r="E306" t="s">
        <v>1026</v>
      </c>
      <c r="F306" s="7"/>
      <c r="H306" t="s">
        <v>28</v>
      </c>
      <c r="I306" t="s">
        <v>70</v>
      </c>
      <c r="J306" t="s">
        <v>25</v>
      </c>
      <c r="K306" t="s">
        <v>84</v>
      </c>
      <c r="L306" t="s">
        <v>139</v>
      </c>
      <c r="M306" t="s">
        <v>95</v>
      </c>
      <c r="N306" t="s">
        <v>28</v>
      </c>
      <c r="O306" s="3"/>
      <c r="Q306" t="s">
        <v>28</v>
      </c>
      <c r="T306" t="s">
        <v>1027</v>
      </c>
      <c r="U306" t="s">
        <v>948</v>
      </c>
      <c r="V306" t="str">
        <f>_xlfn.XLOOKUP(U306, Mapping!$A$2:$A$48, Mapping!$B$2:$B$48, "Unknown County")</f>
        <v>Nairobi</v>
      </c>
    </row>
    <row r="307" spans="1:22" x14ac:dyDescent="0.3">
      <c r="A307" t="s">
        <v>192</v>
      </c>
      <c r="B307" t="s">
        <v>256</v>
      </c>
      <c r="C307" s="3">
        <v>42995</v>
      </c>
      <c r="D307" t="s">
        <v>22</v>
      </c>
      <c r="E307" t="s">
        <v>1028</v>
      </c>
      <c r="F307" s="7">
        <v>23</v>
      </c>
      <c r="H307" t="s">
        <v>1029</v>
      </c>
      <c r="I307" t="s">
        <v>70</v>
      </c>
      <c r="J307" t="s">
        <v>25</v>
      </c>
      <c r="K307" t="s">
        <v>84</v>
      </c>
      <c r="L307" t="s">
        <v>139</v>
      </c>
      <c r="M307" t="s">
        <v>34</v>
      </c>
      <c r="N307" t="s">
        <v>174</v>
      </c>
      <c r="O307" s="3"/>
      <c r="Q307" t="s">
        <v>28</v>
      </c>
      <c r="T307" t="s">
        <v>1027</v>
      </c>
      <c r="U307" t="s">
        <v>948</v>
      </c>
      <c r="V307" t="str">
        <f>_xlfn.XLOOKUP(U307, Mapping!$A$2:$A$48, Mapping!$B$2:$B$48, "Unknown County")</f>
        <v>Nairobi</v>
      </c>
    </row>
    <row r="308" spans="1:22" x14ac:dyDescent="0.3">
      <c r="A308" t="s">
        <v>192</v>
      </c>
      <c r="B308" t="s">
        <v>256</v>
      </c>
      <c r="C308" s="3">
        <v>43032</v>
      </c>
      <c r="D308" t="s">
        <v>22</v>
      </c>
      <c r="E308" t="s">
        <v>1030</v>
      </c>
      <c r="F308" s="7">
        <v>40</v>
      </c>
      <c r="H308" t="s">
        <v>1031</v>
      </c>
      <c r="I308" t="s">
        <v>1584</v>
      </c>
      <c r="J308" t="s">
        <v>25</v>
      </c>
      <c r="K308" t="s">
        <v>26</v>
      </c>
      <c r="L308" t="s">
        <v>139</v>
      </c>
      <c r="M308" t="s">
        <v>1032</v>
      </c>
      <c r="N308" t="s">
        <v>174</v>
      </c>
      <c r="O308" s="3"/>
      <c r="Q308" t="s">
        <v>28</v>
      </c>
      <c r="T308" t="s">
        <v>1033</v>
      </c>
      <c r="U308" t="s">
        <v>948</v>
      </c>
      <c r="V308" t="str">
        <f>_xlfn.XLOOKUP(U308, Mapping!$A$2:$A$48, Mapping!$B$2:$B$48, "Unknown County")</f>
        <v>Nairobi</v>
      </c>
    </row>
    <row r="309" spans="1:22" x14ac:dyDescent="0.3">
      <c r="A309" t="s">
        <v>1034</v>
      </c>
      <c r="B309" t="s">
        <v>143</v>
      </c>
      <c r="C309" s="3">
        <v>43087</v>
      </c>
      <c r="D309" t="s">
        <v>22</v>
      </c>
      <c r="E309" t="s">
        <v>1035</v>
      </c>
      <c r="F309" s="7">
        <v>22</v>
      </c>
      <c r="H309" t="s">
        <v>1036</v>
      </c>
      <c r="I309" t="s">
        <v>82</v>
      </c>
      <c r="J309" t="s">
        <v>28</v>
      </c>
      <c r="K309" t="s">
        <v>84</v>
      </c>
      <c r="L309" t="s">
        <v>27</v>
      </c>
      <c r="M309" t="s">
        <v>28</v>
      </c>
      <c r="N309" t="s">
        <v>174</v>
      </c>
      <c r="O309" s="3"/>
      <c r="Q309" t="s">
        <v>28</v>
      </c>
      <c r="T309" t="s">
        <v>1037</v>
      </c>
      <c r="U309" t="s">
        <v>948</v>
      </c>
      <c r="V309" t="str">
        <f>_xlfn.XLOOKUP(U309, Mapping!$A$2:$A$48, Mapping!$B$2:$B$48, "Unknown County")</f>
        <v>Nairobi</v>
      </c>
    </row>
    <row r="310" spans="1:22" x14ac:dyDescent="0.3">
      <c r="A310" t="s">
        <v>192</v>
      </c>
      <c r="B310" t="s">
        <v>58</v>
      </c>
      <c r="C310" s="3">
        <v>43097</v>
      </c>
      <c r="D310" t="s">
        <v>22</v>
      </c>
      <c r="E310" t="s">
        <v>28</v>
      </c>
      <c r="F310" s="7"/>
      <c r="H310" t="s">
        <v>28</v>
      </c>
      <c r="I310" t="s">
        <v>39</v>
      </c>
      <c r="J310" t="s">
        <v>25</v>
      </c>
      <c r="K310" t="s">
        <v>26</v>
      </c>
      <c r="L310" t="s">
        <v>59</v>
      </c>
      <c r="M310" t="s">
        <v>34</v>
      </c>
      <c r="N310" t="s">
        <v>35</v>
      </c>
      <c r="O310" s="3"/>
      <c r="Q310" t="s">
        <v>28</v>
      </c>
      <c r="T310" t="s">
        <v>1004</v>
      </c>
      <c r="U310" t="s">
        <v>948</v>
      </c>
      <c r="V310" t="str">
        <f>_xlfn.XLOOKUP(U310, Mapping!$A$2:$A$48, Mapping!$B$2:$B$48, "Unknown County")</f>
        <v>Nairobi</v>
      </c>
    </row>
    <row r="311" spans="1:22" x14ac:dyDescent="0.3">
      <c r="A311" t="s">
        <v>974</v>
      </c>
      <c r="B311" t="s">
        <v>21</v>
      </c>
      <c r="C311" s="3">
        <v>43197</v>
      </c>
      <c r="D311" t="s">
        <v>22</v>
      </c>
      <c r="E311" t="s">
        <v>28</v>
      </c>
      <c r="F311" s="7"/>
      <c r="H311" t="s">
        <v>1038</v>
      </c>
      <c r="I311" t="s">
        <v>39</v>
      </c>
      <c r="J311" t="s">
        <v>25</v>
      </c>
      <c r="K311" t="s">
        <v>1039</v>
      </c>
      <c r="L311" t="s">
        <v>40</v>
      </c>
      <c r="M311" t="s">
        <v>34</v>
      </c>
      <c r="N311" t="s">
        <v>35</v>
      </c>
      <c r="O311" s="3"/>
      <c r="Q311" t="s">
        <v>28</v>
      </c>
      <c r="T311" t="s">
        <v>1040</v>
      </c>
      <c r="U311" t="s">
        <v>948</v>
      </c>
      <c r="V311" t="str">
        <f>_xlfn.XLOOKUP(U311, Mapping!$A$2:$A$48, Mapping!$B$2:$B$48, "Unknown County")</f>
        <v>Nairobi</v>
      </c>
    </row>
    <row r="312" spans="1:22" x14ac:dyDescent="0.3">
      <c r="A312" t="s">
        <v>1041</v>
      </c>
      <c r="B312" t="s">
        <v>21</v>
      </c>
      <c r="C312" s="3">
        <v>43227</v>
      </c>
      <c r="D312" t="s">
        <v>22</v>
      </c>
      <c r="E312" t="s">
        <v>1042</v>
      </c>
      <c r="F312" s="7">
        <v>35</v>
      </c>
      <c r="G312" s="3">
        <v>43226</v>
      </c>
      <c r="H312" t="s">
        <v>1043</v>
      </c>
      <c r="I312" t="s">
        <v>70</v>
      </c>
      <c r="J312" t="s">
        <v>25</v>
      </c>
      <c r="K312" t="s">
        <v>26</v>
      </c>
      <c r="L312" t="s">
        <v>165</v>
      </c>
      <c r="M312" t="s">
        <v>34</v>
      </c>
      <c r="N312" t="s">
        <v>35</v>
      </c>
      <c r="O312" s="3"/>
      <c r="Q312" t="s">
        <v>28</v>
      </c>
      <c r="T312" t="s">
        <v>1044</v>
      </c>
      <c r="U312" t="s">
        <v>948</v>
      </c>
      <c r="V312" t="str">
        <f>_xlfn.XLOOKUP(U312, Mapping!$A$2:$A$48, Mapping!$B$2:$B$48, "Unknown County")</f>
        <v>Nairobi</v>
      </c>
    </row>
    <row r="313" spans="1:22" x14ac:dyDescent="0.3">
      <c r="A313" t="s">
        <v>974</v>
      </c>
      <c r="B313" t="s">
        <v>21</v>
      </c>
      <c r="C313" s="3">
        <v>43235</v>
      </c>
      <c r="D313" t="s">
        <v>22</v>
      </c>
      <c r="E313" t="s">
        <v>28</v>
      </c>
      <c r="F313" s="7">
        <v>30</v>
      </c>
      <c r="G313" s="3">
        <v>43234</v>
      </c>
      <c r="H313" t="s">
        <v>28</v>
      </c>
      <c r="I313" t="s">
        <v>70</v>
      </c>
      <c r="J313" t="s">
        <v>25</v>
      </c>
      <c r="K313" t="s">
        <v>26</v>
      </c>
      <c r="L313" t="s">
        <v>139</v>
      </c>
      <c r="M313" t="s">
        <v>28</v>
      </c>
      <c r="N313" t="s">
        <v>35</v>
      </c>
      <c r="O313" s="3"/>
      <c r="Q313" t="s">
        <v>28</v>
      </c>
      <c r="T313" t="s">
        <v>1045</v>
      </c>
      <c r="U313" t="s">
        <v>948</v>
      </c>
      <c r="V313" t="str">
        <f>_xlfn.XLOOKUP(U313, Mapping!$A$2:$A$48, Mapping!$B$2:$B$48, "Unknown County")</f>
        <v>Nairobi</v>
      </c>
    </row>
    <row r="314" spans="1:22" x14ac:dyDescent="0.3">
      <c r="A314" t="s">
        <v>192</v>
      </c>
      <c r="B314" t="s">
        <v>135</v>
      </c>
      <c r="C314" s="3">
        <v>43328</v>
      </c>
      <c r="D314" t="s">
        <v>22</v>
      </c>
      <c r="E314" t="s">
        <v>28</v>
      </c>
      <c r="F314" s="7"/>
      <c r="H314" t="s">
        <v>28</v>
      </c>
      <c r="I314" t="s">
        <v>82</v>
      </c>
      <c r="J314" t="s">
        <v>172</v>
      </c>
      <c r="K314" t="s">
        <v>26</v>
      </c>
      <c r="L314" t="s">
        <v>110</v>
      </c>
      <c r="M314" t="s">
        <v>28</v>
      </c>
      <c r="N314" t="s">
        <v>35</v>
      </c>
      <c r="O314" s="3"/>
      <c r="Q314" t="s">
        <v>28</v>
      </c>
      <c r="T314" t="s">
        <v>1046</v>
      </c>
      <c r="U314" t="s">
        <v>948</v>
      </c>
      <c r="V314" t="str">
        <f>_xlfn.XLOOKUP(U314, Mapping!$A$2:$A$48, Mapping!$B$2:$B$48, "Unknown County")</f>
        <v>Nairobi</v>
      </c>
    </row>
    <row r="315" spans="1:22" x14ac:dyDescent="0.3">
      <c r="A315" t="s">
        <v>1047</v>
      </c>
      <c r="B315" t="s">
        <v>58</v>
      </c>
      <c r="C315" s="3">
        <v>43364</v>
      </c>
      <c r="D315" t="s">
        <v>22</v>
      </c>
      <c r="E315" t="s">
        <v>1048</v>
      </c>
      <c r="F315" s="7">
        <v>29</v>
      </c>
      <c r="H315" t="s">
        <v>1049</v>
      </c>
      <c r="I315" t="s">
        <v>186</v>
      </c>
      <c r="J315" t="s">
        <v>83</v>
      </c>
      <c r="K315" t="s">
        <v>26</v>
      </c>
      <c r="L315" t="s">
        <v>59</v>
      </c>
      <c r="M315" t="s">
        <v>28</v>
      </c>
      <c r="N315" t="s">
        <v>1384</v>
      </c>
      <c r="O315" s="3">
        <v>43369</v>
      </c>
      <c r="Q315" t="s">
        <v>28</v>
      </c>
      <c r="T315" t="s">
        <v>1050</v>
      </c>
      <c r="U315" t="s">
        <v>948</v>
      </c>
      <c r="V315" t="str">
        <f>_xlfn.XLOOKUP(U315, Mapping!$A$2:$A$48, Mapping!$B$2:$B$48, "Unknown County")</f>
        <v>Nairobi</v>
      </c>
    </row>
    <row r="316" spans="1:22" x14ac:dyDescent="0.3">
      <c r="A316" t="s">
        <v>20</v>
      </c>
      <c r="B316" t="s">
        <v>21</v>
      </c>
      <c r="C316" s="3">
        <v>43508</v>
      </c>
      <c r="D316" t="s">
        <v>22</v>
      </c>
      <c r="E316" t="s">
        <v>1051</v>
      </c>
      <c r="F316" s="7"/>
      <c r="H316" t="s">
        <v>1052</v>
      </c>
      <c r="I316" t="s">
        <v>1584</v>
      </c>
      <c r="J316" t="s">
        <v>25</v>
      </c>
      <c r="K316" t="s">
        <v>84</v>
      </c>
      <c r="L316" t="s">
        <v>46</v>
      </c>
      <c r="M316" t="s">
        <v>28</v>
      </c>
      <c r="N316" t="s">
        <v>35</v>
      </c>
      <c r="O316" s="3"/>
      <c r="Q316" t="s">
        <v>28</v>
      </c>
      <c r="T316" t="s">
        <v>1053</v>
      </c>
      <c r="U316" t="s">
        <v>948</v>
      </c>
      <c r="V316" t="str">
        <f>_xlfn.XLOOKUP(U316, Mapping!$A$2:$A$48, Mapping!$B$2:$B$48, "Unknown County")</f>
        <v>Nairobi</v>
      </c>
    </row>
    <row r="317" spans="1:22" x14ac:dyDescent="0.3">
      <c r="A317" t="s">
        <v>742</v>
      </c>
      <c r="B317" t="s">
        <v>21</v>
      </c>
      <c r="C317" s="3">
        <v>43518</v>
      </c>
      <c r="D317" t="s">
        <v>22</v>
      </c>
      <c r="E317" t="s">
        <v>1054</v>
      </c>
      <c r="F317" s="7">
        <v>28</v>
      </c>
      <c r="H317" t="s">
        <v>1055</v>
      </c>
      <c r="I317" t="s">
        <v>39</v>
      </c>
      <c r="J317" t="s">
        <v>25</v>
      </c>
      <c r="K317" t="s">
        <v>26</v>
      </c>
      <c r="L317" t="s">
        <v>165</v>
      </c>
      <c r="M317" t="s">
        <v>34</v>
      </c>
      <c r="N317" t="s">
        <v>1384</v>
      </c>
      <c r="O317" s="3">
        <v>43518</v>
      </c>
      <c r="Q317" t="s">
        <v>28</v>
      </c>
      <c r="T317" t="s">
        <v>1011</v>
      </c>
      <c r="U317" t="s">
        <v>948</v>
      </c>
      <c r="V317" t="str">
        <f>_xlfn.XLOOKUP(U317, Mapping!$A$2:$A$48, Mapping!$B$2:$B$48, "Unknown County")</f>
        <v>Nairobi</v>
      </c>
    </row>
    <row r="318" spans="1:22" x14ac:dyDescent="0.3">
      <c r="A318" t="s">
        <v>28</v>
      </c>
      <c r="B318" t="s">
        <v>1056</v>
      </c>
      <c r="D318" t="s">
        <v>22</v>
      </c>
      <c r="E318" t="s">
        <v>1057</v>
      </c>
      <c r="F318" s="7"/>
      <c r="H318" t="s">
        <v>28</v>
      </c>
      <c r="I318" t="s">
        <v>70</v>
      </c>
      <c r="J318" t="s">
        <v>28</v>
      </c>
      <c r="K318" t="s">
        <v>28</v>
      </c>
      <c r="L318" t="s">
        <v>46</v>
      </c>
      <c r="M318" t="s">
        <v>28</v>
      </c>
      <c r="N318" t="s">
        <v>28</v>
      </c>
      <c r="O318" s="3"/>
      <c r="Q318" t="s">
        <v>28</v>
      </c>
      <c r="T318" t="s">
        <v>1058</v>
      </c>
      <c r="U318" t="s">
        <v>948</v>
      </c>
      <c r="V318" t="str">
        <f>_xlfn.XLOOKUP(U318, Mapping!$A$2:$A$48, Mapping!$B$2:$B$48, "Unknown County")</f>
        <v>Nairobi</v>
      </c>
    </row>
    <row r="319" spans="1:22" x14ac:dyDescent="0.3">
      <c r="A319" t="s">
        <v>28</v>
      </c>
      <c r="B319" t="s">
        <v>115</v>
      </c>
      <c r="D319" t="s">
        <v>22</v>
      </c>
      <c r="E319" t="s">
        <v>1059</v>
      </c>
      <c r="F319" s="7"/>
      <c r="G319" s="3">
        <v>43610</v>
      </c>
      <c r="H319" t="s">
        <v>28</v>
      </c>
      <c r="I319" t="s">
        <v>70</v>
      </c>
      <c r="J319" t="s">
        <v>28</v>
      </c>
      <c r="K319" t="s">
        <v>28</v>
      </c>
      <c r="L319" t="s">
        <v>46</v>
      </c>
      <c r="M319" t="s">
        <v>28</v>
      </c>
      <c r="N319" t="s">
        <v>28</v>
      </c>
      <c r="O319" s="3"/>
      <c r="Q319" t="s">
        <v>28</v>
      </c>
      <c r="T319" t="s">
        <v>1058</v>
      </c>
      <c r="U319" t="s">
        <v>948</v>
      </c>
      <c r="V319" t="str">
        <f>_xlfn.XLOOKUP(U319, Mapping!$A$2:$A$48, Mapping!$B$2:$B$48, "Unknown County")</f>
        <v>Nairobi</v>
      </c>
    </row>
    <row r="320" spans="1:22" x14ac:dyDescent="0.3">
      <c r="A320" t="s">
        <v>20</v>
      </c>
      <c r="B320" t="s">
        <v>21</v>
      </c>
      <c r="C320" s="3">
        <v>43777</v>
      </c>
      <c r="D320" t="s">
        <v>22</v>
      </c>
      <c r="E320" t="s">
        <v>1060</v>
      </c>
      <c r="F320" s="7"/>
      <c r="H320" t="s">
        <v>1061</v>
      </c>
      <c r="I320" t="s">
        <v>1584</v>
      </c>
      <c r="J320" t="s">
        <v>25</v>
      </c>
      <c r="K320" t="s">
        <v>84</v>
      </c>
      <c r="L320" t="s">
        <v>59</v>
      </c>
      <c r="M320" t="s">
        <v>34</v>
      </c>
      <c r="N320" t="s">
        <v>1384</v>
      </c>
      <c r="O320" s="3">
        <v>43776</v>
      </c>
      <c r="Q320" t="s">
        <v>28</v>
      </c>
      <c r="T320" t="s">
        <v>1062</v>
      </c>
      <c r="U320" t="s">
        <v>948</v>
      </c>
      <c r="V320" t="str">
        <f>_xlfn.XLOOKUP(U320, Mapping!$A$2:$A$48, Mapping!$B$2:$B$48, "Unknown County")</f>
        <v>Nairobi</v>
      </c>
    </row>
    <row r="321" spans="1:22" x14ac:dyDescent="0.3">
      <c r="A321" t="s">
        <v>1063</v>
      </c>
      <c r="B321" t="s">
        <v>21</v>
      </c>
      <c r="C321" s="3">
        <v>43872</v>
      </c>
      <c r="D321" t="s">
        <v>22</v>
      </c>
      <c r="E321" t="s">
        <v>1064</v>
      </c>
      <c r="F321" s="7"/>
      <c r="H321" t="s">
        <v>1065</v>
      </c>
      <c r="I321" t="s">
        <v>39</v>
      </c>
      <c r="J321" t="s">
        <v>25</v>
      </c>
      <c r="K321" t="s">
        <v>26</v>
      </c>
      <c r="L321" t="s">
        <v>46</v>
      </c>
      <c r="M321" t="s">
        <v>28</v>
      </c>
      <c r="N321" t="s">
        <v>35</v>
      </c>
      <c r="O321" s="3"/>
      <c r="Q321" t="s">
        <v>28</v>
      </c>
      <c r="T321" t="s">
        <v>1066</v>
      </c>
      <c r="U321" t="s">
        <v>948</v>
      </c>
      <c r="V321" t="str">
        <f>_xlfn.XLOOKUP(U321, Mapping!$A$2:$A$48, Mapping!$B$2:$B$48, "Unknown County")</f>
        <v>Nairobi</v>
      </c>
    </row>
    <row r="322" spans="1:22" x14ac:dyDescent="0.3">
      <c r="A322" t="s">
        <v>20</v>
      </c>
      <c r="B322" t="s">
        <v>21</v>
      </c>
      <c r="C322" s="3">
        <v>43913</v>
      </c>
      <c r="D322" t="s">
        <v>22</v>
      </c>
      <c r="E322" t="s">
        <v>1067</v>
      </c>
      <c r="F322" s="7"/>
      <c r="H322" t="s">
        <v>1068</v>
      </c>
      <c r="I322" t="s">
        <v>70</v>
      </c>
      <c r="J322" t="s">
        <v>25</v>
      </c>
      <c r="K322" t="s">
        <v>26</v>
      </c>
      <c r="L322" t="s">
        <v>46</v>
      </c>
      <c r="M322" t="s">
        <v>28</v>
      </c>
      <c r="N322" t="s">
        <v>35</v>
      </c>
      <c r="O322" s="3"/>
      <c r="Q322" t="s">
        <v>28</v>
      </c>
      <c r="T322" t="s">
        <v>1069</v>
      </c>
      <c r="U322" t="s">
        <v>948</v>
      </c>
      <c r="V322" t="str">
        <f>_xlfn.XLOOKUP(U322, Mapping!$A$2:$A$48, Mapping!$B$2:$B$48, "Unknown County")</f>
        <v>Nairobi</v>
      </c>
    </row>
    <row r="323" spans="1:22" x14ac:dyDescent="0.3">
      <c r="A323" t="s">
        <v>1070</v>
      </c>
      <c r="B323" t="s">
        <v>21</v>
      </c>
      <c r="C323" s="3">
        <v>43942</v>
      </c>
      <c r="D323" t="s">
        <v>22</v>
      </c>
      <c r="E323" t="s">
        <v>1071</v>
      </c>
      <c r="F323" s="7">
        <v>44</v>
      </c>
      <c r="H323" t="s">
        <v>1072</v>
      </c>
      <c r="I323" t="s">
        <v>70</v>
      </c>
      <c r="J323" t="s">
        <v>25</v>
      </c>
      <c r="K323" t="s">
        <v>26</v>
      </c>
      <c r="L323" t="s">
        <v>40</v>
      </c>
      <c r="M323" t="s">
        <v>28</v>
      </c>
      <c r="N323" t="s">
        <v>1384</v>
      </c>
      <c r="O323" s="3">
        <v>43955</v>
      </c>
      <c r="Q323" t="s">
        <v>28</v>
      </c>
      <c r="T323" t="s">
        <v>1073</v>
      </c>
      <c r="U323" t="s">
        <v>948</v>
      </c>
      <c r="V323" t="str">
        <f>_xlfn.XLOOKUP(U323, Mapping!$A$2:$A$48, Mapping!$B$2:$B$48, "Unknown County")</f>
        <v>Nairobi</v>
      </c>
    </row>
    <row r="324" spans="1:22" x14ac:dyDescent="0.3">
      <c r="A324" t="s">
        <v>1063</v>
      </c>
      <c r="B324" t="s">
        <v>21</v>
      </c>
      <c r="C324" s="3">
        <v>43986</v>
      </c>
      <c r="D324" t="s">
        <v>22</v>
      </c>
      <c r="E324" t="s">
        <v>28</v>
      </c>
      <c r="F324" s="7"/>
      <c r="G324" s="3">
        <v>43982</v>
      </c>
      <c r="H324" t="s">
        <v>1074</v>
      </c>
      <c r="I324" t="s">
        <v>70</v>
      </c>
      <c r="J324" t="s">
        <v>25</v>
      </c>
      <c r="K324" t="s">
        <v>28</v>
      </c>
      <c r="L324" t="s">
        <v>33</v>
      </c>
      <c r="M324" t="s">
        <v>28</v>
      </c>
      <c r="N324" t="s">
        <v>1384</v>
      </c>
      <c r="O324" s="3">
        <v>43986</v>
      </c>
      <c r="Q324" t="s">
        <v>28</v>
      </c>
      <c r="T324" t="s">
        <v>952</v>
      </c>
      <c r="U324" t="s">
        <v>948</v>
      </c>
      <c r="V324" t="str">
        <f>_xlfn.XLOOKUP(U324, Mapping!$A$2:$A$48, Mapping!$B$2:$B$48, "Unknown County")</f>
        <v>Nairobi</v>
      </c>
    </row>
    <row r="325" spans="1:22" x14ac:dyDescent="0.3">
      <c r="A325" t="s">
        <v>28</v>
      </c>
      <c r="B325" t="s">
        <v>63</v>
      </c>
      <c r="C325" s="3">
        <v>44035</v>
      </c>
      <c r="D325" t="s">
        <v>22</v>
      </c>
      <c r="E325" t="s">
        <v>1075</v>
      </c>
      <c r="F325" s="7"/>
      <c r="H325" t="s">
        <v>1076</v>
      </c>
      <c r="I325" t="s">
        <v>186</v>
      </c>
      <c r="J325" t="s">
        <v>83</v>
      </c>
      <c r="K325" t="s">
        <v>84</v>
      </c>
      <c r="L325" t="s">
        <v>40</v>
      </c>
      <c r="M325" t="s">
        <v>28</v>
      </c>
      <c r="N325" t="s">
        <v>1384</v>
      </c>
      <c r="O325" s="3">
        <v>44035</v>
      </c>
      <c r="Q325" t="s">
        <v>28</v>
      </c>
      <c r="T325" t="s">
        <v>960</v>
      </c>
      <c r="U325" t="s">
        <v>948</v>
      </c>
      <c r="V325" t="str">
        <f>_xlfn.XLOOKUP(U325, Mapping!$A$2:$A$48, Mapping!$B$2:$B$48, "Unknown County")</f>
        <v>Nairobi</v>
      </c>
    </row>
    <row r="326" spans="1:22" x14ac:dyDescent="0.3">
      <c r="A326" t="s">
        <v>1063</v>
      </c>
      <c r="B326" t="s">
        <v>21</v>
      </c>
      <c r="C326" s="3">
        <v>44155</v>
      </c>
      <c r="D326" t="s">
        <v>22</v>
      </c>
      <c r="E326" t="s">
        <v>1077</v>
      </c>
      <c r="F326" s="7"/>
      <c r="H326" t="s">
        <v>1078</v>
      </c>
      <c r="I326" t="s">
        <v>94</v>
      </c>
      <c r="J326" t="s">
        <v>83</v>
      </c>
      <c r="K326" t="s">
        <v>26</v>
      </c>
      <c r="L326" t="s">
        <v>165</v>
      </c>
      <c r="M326" t="s">
        <v>34</v>
      </c>
      <c r="N326" t="s">
        <v>1384</v>
      </c>
      <c r="O326" s="3">
        <v>44167</v>
      </c>
      <c r="Q326" t="s">
        <v>28</v>
      </c>
      <c r="T326" t="s">
        <v>1079</v>
      </c>
      <c r="U326" t="s">
        <v>948</v>
      </c>
      <c r="V326" t="str">
        <f>_xlfn.XLOOKUP(U326, Mapping!$A$2:$A$48, Mapping!$B$2:$B$48, "Unknown County")</f>
        <v>Nairobi</v>
      </c>
    </row>
    <row r="327" spans="1:22" x14ac:dyDescent="0.3">
      <c r="A327" t="s">
        <v>1080</v>
      </c>
      <c r="B327" t="s">
        <v>28</v>
      </c>
      <c r="C327" s="3">
        <v>44887</v>
      </c>
      <c r="D327" t="s">
        <v>22</v>
      </c>
      <c r="E327" t="s">
        <v>28</v>
      </c>
      <c r="F327" s="7"/>
      <c r="H327" t="s">
        <v>1081</v>
      </c>
      <c r="I327" t="s">
        <v>70</v>
      </c>
      <c r="J327" t="s">
        <v>28</v>
      </c>
      <c r="K327" t="s">
        <v>71</v>
      </c>
      <c r="L327" t="s">
        <v>59</v>
      </c>
      <c r="M327" t="s">
        <v>28</v>
      </c>
      <c r="N327" t="s">
        <v>28</v>
      </c>
      <c r="O327" s="3"/>
      <c r="Q327" t="s">
        <v>28</v>
      </c>
      <c r="T327" t="s">
        <v>1082</v>
      </c>
      <c r="U327" t="s">
        <v>948</v>
      </c>
      <c r="V327" t="str">
        <f>_xlfn.XLOOKUP(U327, Mapping!$A$2:$A$48, Mapping!$B$2:$B$48, "Unknown County")</f>
        <v>Nairobi</v>
      </c>
    </row>
    <row r="328" spans="1:22" x14ac:dyDescent="0.3">
      <c r="A328" t="s">
        <v>1083</v>
      </c>
      <c r="B328" t="s">
        <v>267</v>
      </c>
      <c r="C328" s="3">
        <v>44251</v>
      </c>
      <c r="D328" t="s">
        <v>22</v>
      </c>
      <c r="E328" t="s">
        <v>1084</v>
      </c>
      <c r="F328" s="7">
        <v>34</v>
      </c>
      <c r="H328" t="s">
        <v>1085</v>
      </c>
      <c r="I328" t="s">
        <v>70</v>
      </c>
      <c r="J328" t="s">
        <v>25</v>
      </c>
      <c r="K328" t="s">
        <v>26</v>
      </c>
      <c r="L328" t="s">
        <v>165</v>
      </c>
      <c r="M328" t="s">
        <v>28</v>
      </c>
      <c r="N328" t="s">
        <v>140</v>
      </c>
      <c r="O328" s="3"/>
      <c r="Q328" t="s">
        <v>28</v>
      </c>
      <c r="T328" t="s">
        <v>1086</v>
      </c>
      <c r="U328" t="s">
        <v>948</v>
      </c>
      <c r="V328" t="str">
        <f>_xlfn.XLOOKUP(U328, Mapping!$A$2:$A$48, Mapping!$B$2:$B$48, "Unknown County")</f>
        <v>Nairobi</v>
      </c>
    </row>
    <row r="329" spans="1:22" x14ac:dyDescent="0.3">
      <c r="A329" t="s">
        <v>192</v>
      </c>
      <c r="B329" t="s">
        <v>21</v>
      </c>
      <c r="C329" s="3">
        <v>44276</v>
      </c>
      <c r="D329" t="s">
        <v>22</v>
      </c>
      <c r="E329" t="s">
        <v>1087</v>
      </c>
      <c r="F329" s="7">
        <v>24</v>
      </c>
      <c r="H329" t="s">
        <v>1088</v>
      </c>
      <c r="I329" t="s">
        <v>82</v>
      </c>
      <c r="J329" t="s">
        <v>28</v>
      </c>
      <c r="K329" t="s">
        <v>84</v>
      </c>
      <c r="L329" t="s">
        <v>40</v>
      </c>
      <c r="M329" t="s">
        <v>28</v>
      </c>
      <c r="N329" t="s">
        <v>28</v>
      </c>
      <c r="O329" s="3"/>
      <c r="Q329" t="s">
        <v>28</v>
      </c>
      <c r="T329" t="s">
        <v>1089</v>
      </c>
      <c r="U329" t="s">
        <v>948</v>
      </c>
      <c r="V329" t="str">
        <f>_xlfn.XLOOKUP(U329, Mapping!$A$2:$A$48, Mapping!$B$2:$B$48, "Unknown County")</f>
        <v>Nairobi</v>
      </c>
    </row>
    <row r="330" spans="1:22" x14ac:dyDescent="0.3">
      <c r="A330" t="s">
        <v>1090</v>
      </c>
      <c r="B330" t="s">
        <v>135</v>
      </c>
      <c r="C330" s="3">
        <v>44421</v>
      </c>
      <c r="D330" t="s">
        <v>22</v>
      </c>
      <c r="E330" t="s">
        <v>28</v>
      </c>
      <c r="F330" s="7">
        <v>22</v>
      </c>
      <c r="H330" t="s">
        <v>1091</v>
      </c>
      <c r="I330" t="s">
        <v>70</v>
      </c>
      <c r="J330" t="s">
        <v>28</v>
      </c>
      <c r="K330" t="s">
        <v>26</v>
      </c>
      <c r="L330" t="s">
        <v>59</v>
      </c>
      <c r="M330" t="s">
        <v>28</v>
      </c>
      <c r="N330" t="s">
        <v>28</v>
      </c>
      <c r="O330" s="3"/>
      <c r="Q330" t="s">
        <v>28</v>
      </c>
      <c r="T330" t="s">
        <v>1092</v>
      </c>
      <c r="U330" t="s">
        <v>948</v>
      </c>
      <c r="V330" t="str">
        <f>_xlfn.XLOOKUP(U330, Mapping!$A$2:$A$48, Mapping!$B$2:$B$48, "Unknown County")</f>
        <v>Nairobi</v>
      </c>
    </row>
    <row r="331" spans="1:22" x14ac:dyDescent="0.3">
      <c r="A331" t="s">
        <v>192</v>
      </c>
      <c r="B331" t="s">
        <v>21</v>
      </c>
      <c r="C331" s="3">
        <v>44454</v>
      </c>
      <c r="D331" t="s">
        <v>22</v>
      </c>
      <c r="E331" t="s">
        <v>1093</v>
      </c>
      <c r="F331" s="7"/>
      <c r="H331" t="s">
        <v>28</v>
      </c>
      <c r="I331" t="s">
        <v>70</v>
      </c>
      <c r="J331" t="s">
        <v>25</v>
      </c>
      <c r="K331" t="s">
        <v>26</v>
      </c>
      <c r="L331" t="s">
        <v>139</v>
      </c>
      <c r="M331" t="s">
        <v>34</v>
      </c>
      <c r="N331" t="s">
        <v>35</v>
      </c>
      <c r="O331" s="3"/>
      <c r="Q331" t="s">
        <v>28</v>
      </c>
      <c r="T331" t="s">
        <v>1094</v>
      </c>
      <c r="U331" t="s">
        <v>948</v>
      </c>
      <c r="V331" t="str">
        <f>_xlfn.XLOOKUP(U331, Mapping!$A$2:$A$48, Mapping!$B$2:$B$48, "Unknown County")</f>
        <v>Nairobi</v>
      </c>
    </row>
    <row r="332" spans="1:22" x14ac:dyDescent="0.3">
      <c r="A332" t="s">
        <v>1095</v>
      </c>
      <c r="B332" t="s">
        <v>58</v>
      </c>
      <c r="C332" s="3">
        <v>44467</v>
      </c>
      <c r="D332" t="s">
        <v>22</v>
      </c>
      <c r="E332" t="s">
        <v>28</v>
      </c>
      <c r="F332" s="7"/>
      <c r="H332" t="s">
        <v>28</v>
      </c>
      <c r="I332" t="s">
        <v>39</v>
      </c>
      <c r="J332" t="s">
        <v>25</v>
      </c>
      <c r="K332" t="s">
        <v>26</v>
      </c>
      <c r="L332" t="s">
        <v>59</v>
      </c>
      <c r="M332" t="s">
        <v>34</v>
      </c>
      <c r="N332" t="s">
        <v>35</v>
      </c>
      <c r="O332" s="3"/>
      <c r="Q332" t="s">
        <v>28</v>
      </c>
      <c r="T332" t="s">
        <v>1096</v>
      </c>
      <c r="U332" t="s">
        <v>948</v>
      </c>
      <c r="V332" t="str">
        <f>_xlfn.XLOOKUP(U332, Mapping!$A$2:$A$48, Mapping!$B$2:$B$48, "Unknown County")</f>
        <v>Nairobi</v>
      </c>
    </row>
    <row r="333" spans="1:22" x14ac:dyDescent="0.3">
      <c r="A333" t="s">
        <v>20</v>
      </c>
      <c r="B333" t="s">
        <v>21</v>
      </c>
      <c r="C333" s="3">
        <v>44483</v>
      </c>
      <c r="D333" t="s">
        <v>22</v>
      </c>
      <c r="E333" t="s">
        <v>1097</v>
      </c>
      <c r="F333" s="7"/>
      <c r="H333" t="s">
        <v>1098</v>
      </c>
      <c r="I333" t="s">
        <v>39</v>
      </c>
      <c r="J333" t="s">
        <v>25</v>
      </c>
      <c r="K333" t="s">
        <v>26</v>
      </c>
      <c r="L333" t="s">
        <v>165</v>
      </c>
      <c r="M333" t="s">
        <v>60</v>
      </c>
      <c r="N333" t="s">
        <v>1384</v>
      </c>
      <c r="O333" s="3">
        <v>44486</v>
      </c>
      <c r="Q333" t="s">
        <v>28</v>
      </c>
      <c r="T333" t="s">
        <v>1092</v>
      </c>
      <c r="U333" t="s">
        <v>948</v>
      </c>
      <c r="V333" t="str">
        <f>_xlfn.XLOOKUP(U333, Mapping!$A$2:$A$48, Mapping!$B$2:$B$48, "Unknown County")</f>
        <v>Nairobi</v>
      </c>
    </row>
    <row r="334" spans="1:22" x14ac:dyDescent="0.3">
      <c r="A334" t="s">
        <v>1099</v>
      </c>
      <c r="B334" t="s">
        <v>58</v>
      </c>
      <c r="C334" s="3">
        <v>44522</v>
      </c>
      <c r="D334" t="s">
        <v>22</v>
      </c>
      <c r="E334" t="s">
        <v>1100</v>
      </c>
      <c r="F334" s="7"/>
      <c r="H334" t="s">
        <v>28</v>
      </c>
      <c r="I334" t="s">
        <v>82</v>
      </c>
      <c r="J334" t="s">
        <v>28</v>
      </c>
      <c r="K334" t="s">
        <v>84</v>
      </c>
      <c r="L334" t="s">
        <v>59</v>
      </c>
      <c r="M334" t="s">
        <v>28</v>
      </c>
      <c r="N334" t="s">
        <v>140</v>
      </c>
      <c r="O334" s="3"/>
      <c r="Q334" t="s">
        <v>28</v>
      </c>
      <c r="T334" t="s">
        <v>1101</v>
      </c>
      <c r="U334" t="s">
        <v>948</v>
      </c>
      <c r="V334" t="str">
        <f>_xlfn.XLOOKUP(U334, Mapping!$A$2:$A$48, Mapping!$B$2:$B$48, "Unknown County")</f>
        <v>Nairobi</v>
      </c>
    </row>
    <row r="335" spans="1:22" x14ac:dyDescent="0.3">
      <c r="A335" t="s">
        <v>1102</v>
      </c>
      <c r="B335" t="s">
        <v>21</v>
      </c>
      <c r="C335" s="3">
        <v>44537</v>
      </c>
      <c r="D335" t="s">
        <v>22</v>
      </c>
      <c r="E335" t="s">
        <v>1103</v>
      </c>
      <c r="F335" s="7"/>
      <c r="H335" t="s">
        <v>1104</v>
      </c>
      <c r="I335" t="s">
        <v>70</v>
      </c>
      <c r="J335" t="s">
        <v>25</v>
      </c>
      <c r="K335" t="s">
        <v>26</v>
      </c>
      <c r="L335" t="s">
        <v>139</v>
      </c>
      <c r="M335" t="s">
        <v>34</v>
      </c>
      <c r="N335" t="s">
        <v>140</v>
      </c>
      <c r="O335" s="3"/>
      <c r="Q335" t="s">
        <v>28</v>
      </c>
      <c r="T335" t="s">
        <v>1105</v>
      </c>
      <c r="U335" t="s">
        <v>948</v>
      </c>
      <c r="V335" t="str">
        <f>_xlfn.XLOOKUP(U335, Mapping!$A$2:$A$48, Mapping!$B$2:$B$48, "Unknown County")</f>
        <v>Nairobi</v>
      </c>
    </row>
    <row r="336" spans="1:22" x14ac:dyDescent="0.3">
      <c r="A336" t="s">
        <v>1080</v>
      </c>
      <c r="B336" t="s">
        <v>58</v>
      </c>
      <c r="C336" s="3">
        <v>44624</v>
      </c>
      <c r="D336" t="s">
        <v>22</v>
      </c>
      <c r="E336" t="s">
        <v>1106</v>
      </c>
      <c r="F336" s="7"/>
      <c r="H336" t="s">
        <v>28</v>
      </c>
      <c r="I336" t="s">
        <v>1585</v>
      </c>
      <c r="J336" t="s">
        <v>25</v>
      </c>
      <c r="K336" t="s">
        <v>26</v>
      </c>
      <c r="L336" t="s">
        <v>59</v>
      </c>
      <c r="M336" t="s">
        <v>225</v>
      </c>
      <c r="N336" t="s">
        <v>35</v>
      </c>
      <c r="O336" s="3"/>
      <c r="Q336" t="s">
        <v>28</v>
      </c>
      <c r="T336" t="s">
        <v>1107</v>
      </c>
      <c r="U336" t="s">
        <v>948</v>
      </c>
      <c r="V336" t="str">
        <f>_xlfn.XLOOKUP(U336, Mapping!$A$2:$A$48, Mapping!$B$2:$B$48, "Unknown County")</f>
        <v>Nairobi</v>
      </c>
    </row>
    <row r="337" spans="1:22" x14ac:dyDescent="0.3">
      <c r="A337" t="s">
        <v>1108</v>
      </c>
      <c r="B337" t="s">
        <v>58</v>
      </c>
      <c r="C337" s="3">
        <v>44653</v>
      </c>
      <c r="D337" t="s">
        <v>22</v>
      </c>
      <c r="E337" t="s">
        <v>1109</v>
      </c>
      <c r="F337" s="7"/>
      <c r="H337" t="s">
        <v>1110</v>
      </c>
      <c r="I337" t="s">
        <v>39</v>
      </c>
      <c r="J337" t="s">
        <v>25</v>
      </c>
      <c r="K337" t="s">
        <v>26</v>
      </c>
      <c r="L337" t="s">
        <v>27</v>
      </c>
      <c r="M337" t="s">
        <v>28</v>
      </c>
      <c r="N337" t="s">
        <v>35</v>
      </c>
      <c r="O337" s="3"/>
      <c r="Q337" t="s">
        <v>28</v>
      </c>
      <c r="T337" t="s">
        <v>1111</v>
      </c>
      <c r="U337" t="s">
        <v>948</v>
      </c>
      <c r="V337" t="str">
        <f>_xlfn.XLOOKUP(U337, Mapping!$A$2:$A$48, Mapping!$B$2:$B$48, "Unknown County")</f>
        <v>Nairobi</v>
      </c>
    </row>
    <row r="338" spans="1:22" x14ac:dyDescent="0.3">
      <c r="A338" t="s">
        <v>192</v>
      </c>
      <c r="B338" t="s">
        <v>21</v>
      </c>
      <c r="C338" s="3">
        <v>44675</v>
      </c>
      <c r="D338" t="s">
        <v>22</v>
      </c>
      <c r="E338" t="s">
        <v>1112</v>
      </c>
      <c r="F338" s="7">
        <v>27</v>
      </c>
      <c r="H338" t="s">
        <v>1113</v>
      </c>
      <c r="I338" t="s">
        <v>39</v>
      </c>
      <c r="J338" t="s">
        <v>25</v>
      </c>
      <c r="K338" t="s">
        <v>26</v>
      </c>
      <c r="L338" t="s">
        <v>46</v>
      </c>
      <c r="M338" t="s">
        <v>28</v>
      </c>
      <c r="N338" t="s">
        <v>35</v>
      </c>
      <c r="O338" s="3"/>
      <c r="Q338" t="s">
        <v>28</v>
      </c>
      <c r="T338" t="s">
        <v>1114</v>
      </c>
      <c r="U338" t="s">
        <v>948</v>
      </c>
      <c r="V338" t="str">
        <f>_xlfn.XLOOKUP(U338, Mapping!$A$2:$A$48, Mapping!$B$2:$B$48, "Unknown County")</f>
        <v>Nairobi</v>
      </c>
    </row>
    <row r="339" spans="1:22" x14ac:dyDescent="0.3">
      <c r="A339" t="s">
        <v>192</v>
      </c>
      <c r="B339" t="s">
        <v>21</v>
      </c>
      <c r="C339" s="3">
        <v>44721</v>
      </c>
      <c r="D339" t="s">
        <v>22</v>
      </c>
      <c r="E339" t="s">
        <v>28</v>
      </c>
      <c r="F339" s="7">
        <v>25</v>
      </c>
      <c r="H339" t="s">
        <v>1115</v>
      </c>
      <c r="I339" t="s">
        <v>70</v>
      </c>
      <c r="J339" t="s">
        <v>25</v>
      </c>
      <c r="K339" t="s">
        <v>26</v>
      </c>
      <c r="L339" t="s">
        <v>27</v>
      </c>
      <c r="M339" t="s">
        <v>28</v>
      </c>
      <c r="N339" t="s">
        <v>35</v>
      </c>
      <c r="O339" s="3"/>
      <c r="Q339" t="s">
        <v>28</v>
      </c>
      <c r="T339" t="s">
        <v>1116</v>
      </c>
      <c r="U339" t="s">
        <v>948</v>
      </c>
      <c r="V339" t="str">
        <f>_xlfn.XLOOKUP(U339, Mapping!$A$2:$A$48, Mapping!$B$2:$B$48, "Unknown County")</f>
        <v>Nairobi</v>
      </c>
    </row>
    <row r="340" spans="1:22" x14ac:dyDescent="0.3">
      <c r="A340" t="s">
        <v>192</v>
      </c>
      <c r="B340" t="s">
        <v>21</v>
      </c>
      <c r="C340" s="3">
        <v>44742</v>
      </c>
      <c r="D340" t="s">
        <v>22</v>
      </c>
      <c r="E340" t="s">
        <v>1117</v>
      </c>
      <c r="F340" s="7"/>
      <c r="H340" t="s">
        <v>28</v>
      </c>
      <c r="I340" t="s">
        <v>70</v>
      </c>
      <c r="J340" t="s">
        <v>25</v>
      </c>
      <c r="K340" t="s">
        <v>26</v>
      </c>
      <c r="L340" t="s">
        <v>59</v>
      </c>
      <c r="M340" t="s">
        <v>28</v>
      </c>
      <c r="N340" t="s">
        <v>35</v>
      </c>
      <c r="O340" s="3"/>
      <c r="Q340" t="s">
        <v>28</v>
      </c>
      <c r="T340" t="s">
        <v>1118</v>
      </c>
      <c r="U340" t="s">
        <v>948</v>
      </c>
      <c r="V340" t="str">
        <f>_xlfn.XLOOKUP(U340, Mapping!$A$2:$A$48, Mapping!$B$2:$B$48, "Unknown County")</f>
        <v>Nairobi</v>
      </c>
    </row>
    <row r="341" spans="1:22" x14ac:dyDescent="0.3">
      <c r="A341" t="s">
        <v>192</v>
      </c>
      <c r="B341" t="s">
        <v>21</v>
      </c>
      <c r="C341" s="3">
        <v>44763</v>
      </c>
      <c r="D341" t="s">
        <v>22</v>
      </c>
      <c r="E341" t="s">
        <v>1119</v>
      </c>
      <c r="F341" s="7">
        <v>26</v>
      </c>
      <c r="H341" t="s">
        <v>1120</v>
      </c>
      <c r="I341" t="s">
        <v>186</v>
      </c>
      <c r="J341" t="s">
        <v>83</v>
      </c>
      <c r="K341" t="s">
        <v>26</v>
      </c>
      <c r="L341" t="s">
        <v>165</v>
      </c>
      <c r="M341" t="s">
        <v>28</v>
      </c>
      <c r="N341" t="s">
        <v>35</v>
      </c>
      <c r="O341" s="3"/>
      <c r="Q341" t="s">
        <v>28</v>
      </c>
      <c r="T341" t="s">
        <v>1121</v>
      </c>
      <c r="U341" t="s">
        <v>948</v>
      </c>
      <c r="V341" t="str">
        <f>_xlfn.XLOOKUP(U341, Mapping!$A$2:$A$48, Mapping!$B$2:$B$48, "Unknown County")</f>
        <v>Nairobi</v>
      </c>
    </row>
    <row r="342" spans="1:22" x14ac:dyDescent="0.3">
      <c r="A342" t="s">
        <v>974</v>
      </c>
      <c r="B342" t="s">
        <v>21</v>
      </c>
      <c r="C342" s="3">
        <v>44929</v>
      </c>
      <c r="D342" t="s">
        <v>22</v>
      </c>
      <c r="E342" t="s">
        <v>1122</v>
      </c>
      <c r="F342" s="7">
        <v>31</v>
      </c>
      <c r="H342" t="s">
        <v>1123</v>
      </c>
      <c r="I342" t="s">
        <v>70</v>
      </c>
      <c r="J342" t="s">
        <v>25</v>
      </c>
      <c r="K342" t="s">
        <v>26</v>
      </c>
      <c r="L342" t="s">
        <v>59</v>
      </c>
      <c r="M342" t="s">
        <v>34</v>
      </c>
      <c r="N342" t="s">
        <v>1384</v>
      </c>
      <c r="O342" s="3">
        <v>44929</v>
      </c>
      <c r="Q342" t="s">
        <v>28</v>
      </c>
      <c r="T342" t="s">
        <v>1124</v>
      </c>
      <c r="U342" t="s">
        <v>948</v>
      </c>
      <c r="V342" t="str">
        <f>_xlfn.XLOOKUP(U342, Mapping!$A$2:$A$48, Mapping!$B$2:$B$48, "Unknown County")</f>
        <v>Nairobi</v>
      </c>
    </row>
    <row r="343" spans="1:22" x14ac:dyDescent="0.3">
      <c r="A343" t="s">
        <v>192</v>
      </c>
      <c r="B343" t="s">
        <v>21</v>
      </c>
      <c r="C343" s="3">
        <v>44887</v>
      </c>
      <c r="D343" t="s">
        <v>22</v>
      </c>
      <c r="E343" t="s">
        <v>1125</v>
      </c>
      <c r="F343" s="7"/>
      <c r="H343" t="s">
        <v>28</v>
      </c>
      <c r="I343" t="s">
        <v>186</v>
      </c>
      <c r="J343" t="s">
        <v>83</v>
      </c>
      <c r="K343" t="s">
        <v>26</v>
      </c>
      <c r="L343" t="s">
        <v>59</v>
      </c>
      <c r="M343" t="s">
        <v>542</v>
      </c>
      <c r="N343" t="s">
        <v>35</v>
      </c>
      <c r="O343" s="3"/>
      <c r="Q343" t="s">
        <v>28</v>
      </c>
      <c r="T343" t="s">
        <v>1126</v>
      </c>
      <c r="U343" t="s">
        <v>948</v>
      </c>
      <c r="V343" t="str">
        <f>_xlfn.XLOOKUP(U343, Mapping!$A$2:$A$48, Mapping!$B$2:$B$48, "Unknown County")</f>
        <v>Nairobi</v>
      </c>
    </row>
    <row r="344" spans="1:22" x14ac:dyDescent="0.3">
      <c r="A344" t="s">
        <v>192</v>
      </c>
      <c r="B344" t="s">
        <v>21</v>
      </c>
      <c r="C344" s="3">
        <v>44935</v>
      </c>
      <c r="D344" t="s">
        <v>22</v>
      </c>
      <c r="E344" t="s">
        <v>28</v>
      </c>
      <c r="F344" s="7"/>
      <c r="H344" t="s">
        <v>1127</v>
      </c>
      <c r="I344" t="s">
        <v>70</v>
      </c>
      <c r="J344" t="s">
        <v>25</v>
      </c>
      <c r="K344" t="s">
        <v>71</v>
      </c>
      <c r="L344" t="s">
        <v>85</v>
      </c>
      <c r="M344" t="s">
        <v>1128</v>
      </c>
      <c r="N344" t="s">
        <v>35</v>
      </c>
      <c r="O344" s="3"/>
      <c r="Q344" t="s">
        <v>28</v>
      </c>
      <c r="T344" t="s">
        <v>1129</v>
      </c>
      <c r="U344" t="s">
        <v>948</v>
      </c>
      <c r="V344" t="str">
        <f>_xlfn.XLOOKUP(U344, Mapping!$A$2:$A$48, Mapping!$B$2:$B$48, "Unknown County")</f>
        <v>Nairobi</v>
      </c>
    </row>
    <row r="345" spans="1:22" x14ac:dyDescent="0.3">
      <c r="A345" t="s">
        <v>1130</v>
      </c>
      <c r="B345" t="s">
        <v>63</v>
      </c>
      <c r="C345" s="3">
        <v>44991</v>
      </c>
      <c r="D345" t="s">
        <v>22</v>
      </c>
      <c r="E345" t="s">
        <v>1131</v>
      </c>
      <c r="F345" s="7">
        <v>28</v>
      </c>
      <c r="H345" t="s">
        <v>1132</v>
      </c>
      <c r="I345" t="s">
        <v>39</v>
      </c>
      <c r="J345" t="s">
        <v>25</v>
      </c>
      <c r="K345" t="s">
        <v>71</v>
      </c>
      <c r="L345" t="s">
        <v>139</v>
      </c>
      <c r="M345" t="s">
        <v>28</v>
      </c>
      <c r="N345" t="s">
        <v>396</v>
      </c>
      <c r="O345" s="3"/>
      <c r="Q345" t="s">
        <v>28</v>
      </c>
      <c r="T345" t="s">
        <v>1133</v>
      </c>
      <c r="U345" t="s">
        <v>948</v>
      </c>
      <c r="V345" t="str">
        <f>_xlfn.XLOOKUP(U345, Mapping!$A$2:$A$48, Mapping!$B$2:$B$48, "Unknown County")</f>
        <v>Nairobi</v>
      </c>
    </row>
    <row r="346" spans="1:22" x14ac:dyDescent="0.3">
      <c r="A346" t="s">
        <v>1134</v>
      </c>
      <c r="B346" t="s">
        <v>31</v>
      </c>
      <c r="C346" s="3">
        <v>44990</v>
      </c>
      <c r="D346" t="s">
        <v>22</v>
      </c>
      <c r="E346" t="s">
        <v>28</v>
      </c>
      <c r="F346" s="7">
        <v>28</v>
      </c>
      <c r="H346" t="s">
        <v>28</v>
      </c>
      <c r="I346" t="s">
        <v>70</v>
      </c>
      <c r="J346" t="s">
        <v>25</v>
      </c>
      <c r="K346" t="s">
        <v>26</v>
      </c>
      <c r="L346" t="s">
        <v>139</v>
      </c>
      <c r="M346" t="s">
        <v>28</v>
      </c>
      <c r="N346" t="s">
        <v>140</v>
      </c>
      <c r="O346" s="3"/>
      <c r="Q346" t="s">
        <v>28</v>
      </c>
      <c r="T346" t="s">
        <v>1135</v>
      </c>
      <c r="U346" t="s">
        <v>948</v>
      </c>
      <c r="V346" t="str">
        <f>_xlfn.XLOOKUP(U346, Mapping!$A$2:$A$48, Mapping!$B$2:$B$48, "Unknown County")</f>
        <v>Nairobi</v>
      </c>
    </row>
    <row r="347" spans="1:22" x14ac:dyDescent="0.3">
      <c r="A347" t="s">
        <v>511</v>
      </c>
      <c r="B347" t="s">
        <v>63</v>
      </c>
      <c r="C347" s="3">
        <v>45002</v>
      </c>
      <c r="D347" t="s">
        <v>22</v>
      </c>
      <c r="E347" t="s">
        <v>1136</v>
      </c>
      <c r="F347" s="7">
        <v>35</v>
      </c>
      <c r="H347" t="s">
        <v>1137</v>
      </c>
      <c r="I347" t="s">
        <v>39</v>
      </c>
      <c r="J347" t="s">
        <v>25</v>
      </c>
      <c r="K347" t="s">
        <v>71</v>
      </c>
      <c r="L347" t="s">
        <v>59</v>
      </c>
      <c r="M347" t="s">
        <v>1138</v>
      </c>
      <c r="N347" t="s">
        <v>396</v>
      </c>
      <c r="O347" s="3"/>
      <c r="Q347" t="s">
        <v>28</v>
      </c>
      <c r="T347" t="s">
        <v>1082</v>
      </c>
      <c r="U347" t="s">
        <v>948</v>
      </c>
      <c r="V347" t="str">
        <f>_xlfn.XLOOKUP(U347, Mapping!$A$2:$A$48, Mapping!$B$2:$B$48, "Unknown County")</f>
        <v>Nairobi</v>
      </c>
    </row>
    <row r="348" spans="1:22" x14ac:dyDescent="0.3">
      <c r="A348" t="s">
        <v>1139</v>
      </c>
      <c r="B348" t="s">
        <v>63</v>
      </c>
      <c r="C348" s="3">
        <v>45021</v>
      </c>
      <c r="D348" t="s">
        <v>22</v>
      </c>
      <c r="E348" t="s">
        <v>1140</v>
      </c>
      <c r="F348" s="7">
        <v>36</v>
      </c>
      <c r="H348" t="s">
        <v>1141</v>
      </c>
      <c r="I348" t="s">
        <v>70</v>
      </c>
      <c r="J348" t="s">
        <v>25</v>
      </c>
      <c r="K348" t="s">
        <v>302</v>
      </c>
      <c r="L348" t="s">
        <v>59</v>
      </c>
      <c r="M348" t="s">
        <v>28</v>
      </c>
      <c r="N348" t="s">
        <v>35</v>
      </c>
      <c r="O348" s="3"/>
      <c r="Q348" t="s">
        <v>28</v>
      </c>
      <c r="T348" t="s">
        <v>1142</v>
      </c>
      <c r="U348" t="s">
        <v>948</v>
      </c>
      <c r="V348" t="str">
        <f>_xlfn.XLOOKUP(U348, Mapping!$A$2:$A$48, Mapping!$B$2:$B$48, "Unknown County")</f>
        <v>Nairobi</v>
      </c>
    </row>
    <row r="349" spans="1:22" x14ac:dyDescent="0.3">
      <c r="A349" t="s">
        <v>192</v>
      </c>
      <c r="B349" t="s">
        <v>21</v>
      </c>
      <c r="C349" s="3">
        <v>45041</v>
      </c>
      <c r="D349" t="s">
        <v>22</v>
      </c>
      <c r="E349" t="s">
        <v>28</v>
      </c>
      <c r="F349" s="7">
        <v>9</v>
      </c>
      <c r="H349" t="s">
        <v>28</v>
      </c>
      <c r="I349" t="s">
        <v>82</v>
      </c>
      <c r="J349" t="s">
        <v>83</v>
      </c>
      <c r="K349" t="s">
        <v>84</v>
      </c>
      <c r="L349" t="s">
        <v>46</v>
      </c>
      <c r="M349" t="s">
        <v>28</v>
      </c>
      <c r="N349" t="s">
        <v>35</v>
      </c>
      <c r="O349" s="3"/>
      <c r="Q349" t="s">
        <v>28</v>
      </c>
      <c r="T349" t="s">
        <v>1082</v>
      </c>
      <c r="U349" t="s">
        <v>948</v>
      </c>
      <c r="V349" t="str">
        <f>_xlfn.XLOOKUP(U349, Mapping!$A$2:$A$48, Mapping!$B$2:$B$48, "Unknown County")</f>
        <v>Nairobi</v>
      </c>
    </row>
    <row r="350" spans="1:22" x14ac:dyDescent="0.3">
      <c r="A350" t="s">
        <v>192</v>
      </c>
      <c r="B350" t="s">
        <v>21</v>
      </c>
      <c r="C350" s="3">
        <v>45078</v>
      </c>
      <c r="D350" t="s">
        <v>22</v>
      </c>
      <c r="E350" t="s">
        <v>1143</v>
      </c>
      <c r="F350" s="7">
        <v>33</v>
      </c>
      <c r="G350" s="3">
        <v>45076</v>
      </c>
      <c r="H350" t="s">
        <v>1144</v>
      </c>
      <c r="I350" t="s">
        <v>70</v>
      </c>
      <c r="J350" t="s">
        <v>25</v>
      </c>
      <c r="K350" t="s">
        <v>71</v>
      </c>
      <c r="L350" t="s">
        <v>59</v>
      </c>
      <c r="M350" t="s">
        <v>28</v>
      </c>
      <c r="N350" t="s">
        <v>35</v>
      </c>
      <c r="O350" s="3"/>
      <c r="Q350" t="s">
        <v>28</v>
      </c>
      <c r="T350" t="s">
        <v>1145</v>
      </c>
      <c r="U350" t="s">
        <v>948</v>
      </c>
      <c r="V350" t="str">
        <f>_xlfn.XLOOKUP(U350, Mapping!$A$2:$A$48, Mapping!$B$2:$B$48, "Unknown County")</f>
        <v>Nairobi</v>
      </c>
    </row>
    <row r="351" spans="1:22" x14ac:dyDescent="0.3">
      <c r="A351" t="s">
        <v>192</v>
      </c>
      <c r="B351" t="s">
        <v>21</v>
      </c>
      <c r="C351" s="3">
        <v>45099</v>
      </c>
      <c r="D351" t="s">
        <v>22</v>
      </c>
      <c r="E351" t="s">
        <v>28</v>
      </c>
      <c r="F351" s="7">
        <v>42</v>
      </c>
      <c r="H351" t="s">
        <v>28</v>
      </c>
      <c r="I351" t="s">
        <v>39</v>
      </c>
      <c r="J351" t="s">
        <v>25</v>
      </c>
      <c r="K351" t="s">
        <v>71</v>
      </c>
      <c r="L351" t="s">
        <v>59</v>
      </c>
      <c r="M351" t="s">
        <v>1146</v>
      </c>
      <c r="N351" t="s">
        <v>35</v>
      </c>
      <c r="O351" s="3"/>
      <c r="Q351" t="s">
        <v>28</v>
      </c>
      <c r="T351" t="s">
        <v>1147</v>
      </c>
      <c r="U351" t="s">
        <v>948</v>
      </c>
      <c r="V351" t="str">
        <f>_xlfn.XLOOKUP(U351, Mapping!$A$2:$A$48, Mapping!$B$2:$B$48, "Unknown County")</f>
        <v>Nairobi</v>
      </c>
    </row>
    <row r="352" spans="1:22" x14ac:dyDescent="0.3">
      <c r="A352" t="s">
        <v>218</v>
      </c>
      <c r="B352" t="s">
        <v>63</v>
      </c>
      <c r="C352" s="3">
        <v>45231</v>
      </c>
      <c r="D352" t="s">
        <v>22</v>
      </c>
      <c r="E352" t="s">
        <v>1148</v>
      </c>
      <c r="F352" s="7">
        <v>23</v>
      </c>
      <c r="H352" t="s">
        <v>1149</v>
      </c>
      <c r="I352" t="s">
        <v>1584</v>
      </c>
      <c r="J352" t="s">
        <v>88</v>
      </c>
      <c r="K352" t="s">
        <v>71</v>
      </c>
      <c r="L352" t="s">
        <v>59</v>
      </c>
      <c r="M352" t="s">
        <v>28</v>
      </c>
      <c r="N352" t="s">
        <v>35</v>
      </c>
      <c r="O352" s="3"/>
      <c r="Q352" t="s">
        <v>28</v>
      </c>
      <c r="T352" t="s">
        <v>1150</v>
      </c>
      <c r="U352" t="s">
        <v>948</v>
      </c>
      <c r="V352" t="str">
        <f>_xlfn.XLOOKUP(U352, Mapping!$A$2:$A$48, Mapping!$B$2:$B$48, "Unknown County")</f>
        <v>Nairobi</v>
      </c>
    </row>
    <row r="353" spans="1:22" x14ac:dyDescent="0.3">
      <c r="A353" t="s">
        <v>1151</v>
      </c>
      <c r="B353" t="s">
        <v>28</v>
      </c>
      <c r="C353" s="3">
        <v>45266</v>
      </c>
      <c r="D353" t="s">
        <v>22</v>
      </c>
      <c r="E353" t="s">
        <v>1152</v>
      </c>
      <c r="F353" s="7"/>
      <c r="H353" t="s">
        <v>28</v>
      </c>
      <c r="I353" t="s">
        <v>82</v>
      </c>
      <c r="J353" t="s">
        <v>83</v>
      </c>
      <c r="K353" t="s">
        <v>84</v>
      </c>
      <c r="L353" t="s">
        <v>59</v>
      </c>
      <c r="M353" t="s">
        <v>1153</v>
      </c>
      <c r="N353" t="s">
        <v>35</v>
      </c>
      <c r="O353" s="3"/>
      <c r="Q353" t="s">
        <v>28</v>
      </c>
      <c r="T353" t="s">
        <v>1154</v>
      </c>
      <c r="U353" t="s">
        <v>948</v>
      </c>
      <c r="V353" t="str">
        <f>_xlfn.XLOOKUP(U353, Mapping!$A$2:$A$48, Mapping!$B$2:$B$48, "Unknown County")</f>
        <v>Nairobi</v>
      </c>
    </row>
    <row r="354" spans="1:22" x14ac:dyDescent="0.3">
      <c r="A354" t="s">
        <v>1090</v>
      </c>
      <c r="B354" t="s">
        <v>135</v>
      </c>
      <c r="C354" s="3">
        <v>44222</v>
      </c>
      <c r="D354" t="s">
        <v>22</v>
      </c>
      <c r="E354" t="s">
        <v>1155</v>
      </c>
      <c r="F354" s="7">
        <v>34</v>
      </c>
      <c r="H354" t="s">
        <v>28</v>
      </c>
      <c r="I354" t="s">
        <v>1585</v>
      </c>
      <c r="J354" t="s">
        <v>28</v>
      </c>
      <c r="K354" t="s">
        <v>71</v>
      </c>
      <c r="L354" t="s">
        <v>72</v>
      </c>
      <c r="M354" t="s">
        <v>28</v>
      </c>
      <c r="N354" t="s">
        <v>28</v>
      </c>
      <c r="O354" s="3"/>
      <c r="Q354" t="s">
        <v>28</v>
      </c>
      <c r="T354" t="s">
        <v>1156</v>
      </c>
      <c r="U354" t="s">
        <v>948</v>
      </c>
      <c r="V354" t="str">
        <f>_xlfn.XLOOKUP(U354, Mapping!$A$2:$A$48, Mapping!$B$2:$B$48, "Unknown County")</f>
        <v>Nairobi</v>
      </c>
    </row>
    <row r="355" spans="1:22" x14ac:dyDescent="0.3">
      <c r="A355" t="s">
        <v>1157</v>
      </c>
      <c r="B355" t="s">
        <v>135</v>
      </c>
      <c r="C355" s="3">
        <v>44488</v>
      </c>
      <c r="D355" t="s">
        <v>22</v>
      </c>
      <c r="E355" t="s">
        <v>1158</v>
      </c>
      <c r="F355" s="7">
        <v>47</v>
      </c>
      <c r="H355" t="s">
        <v>28</v>
      </c>
      <c r="I355" t="s">
        <v>94</v>
      </c>
      <c r="J355" t="s">
        <v>28</v>
      </c>
      <c r="K355" t="s">
        <v>26</v>
      </c>
      <c r="L355" t="s">
        <v>59</v>
      </c>
      <c r="M355" t="s">
        <v>28</v>
      </c>
      <c r="N355" t="s">
        <v>28</v>
      </c>
      <c r="O355" s="3"/>
      <c r="Q355" t="s">
        <v>28</v>
      </c>
      <c r="T355" t="s">
        <v>1159</v>
      </c>
      <c r="U355" t="s">
        <v>948</v>
      </c>
      <c r="V355" t="str">
        <f>_xlfn.XLOOKUP(U355, Mapping!$A$2:$A$48, Mapping!$B$2:$B$48, "Unknown County")</f>
        <v>Nairobi</v>
      </c>
    </row>
    <row r="356" spans="1:22" x14ac:dyDescent="0.3">
      <c r="A356" t="s">
        <v>28</v>
      </c>
      <c r="B356" t="s">
        <v>63</v>
      </c>
      <c r="C356" s="3">
        <v>43084</v>
      </c>
      <c r="D356" t="s">
        <v>22</v>
      </c>
      <c r="E356" t="s">
        <v>28</v>
      </c>
      <c r="F356" s="7"/>
      <c r="H356" t="s">
        <v>28</v>
      </c>
      <c r="I356" t="s">
        <v>70</v>
      </c>
      <c r="J356" t="s">
        <v>25</v>
      </c>
      <c r="K356" t="s">
        <v>26</v>
      </c>
      <c r="L356" t="s">
        <v>59</v>
      </c>
      <c r="M356" t="s">
        <v>34</v>
      </c>
      <c r="N356" t="s">
        <v>28</v>
      </c>
      <c r="O356" s="3"/>
      <c r="Q356" t="s">
        <v>28</v>
      </c>
      <c r="T356" t="s">
        <v>1160</v>
      </c>
      <c r="U356" t="s">
        <v>948</v>
      </c>
      <c r="V356" t="str">
        <f>_xlfn.XLOOKUP(U356, Mapping!$A$2:$A$48, Mapping!$B$2:$B$48, "Unknown County")</f>
        <v>Nairobi</v>
      </c>
    </row>
    <row r="357" spans="1:22" x14ac:dyDescent="0.3">
      <c r="A357" t="s">
        <v>348</v>
      </c>
      <c r="B357" t="s">
        <v>28</v>
      </c>
      <c r="C357" s="3">
        <v>44626</v>
      </c>
      <c r="D357" t="s">
        <v>22</v>
      </c>
      <c r="E357" t="s">
        <v>1161</v>
      </c>
      <c r="F357" s="7"/>
      <c r="H357" t="s">
        <v>28</v>
      </c>
      <c r="I357" t="s">
        <v>70</v>
      </c>
      <c r="J357" t="s">
        <v>28</v>
      </c>
      <c r="K357" t="s">
        <v>71</v>
      </c>
      <c r="L357" t="s">
        <v>59</v>
      </c>
      <c r="M357" t="s">
        <v>28</v>
      </c>
      <c r="N357" t="s">
        <v>28</v>
      </c>
      <c r="O357" s="3"/>
      <c r="Q357" t="s">
        <v>28</v>
      </c>
      <c r="T357" t="s">
        <v>1082</v>
      </c>
      <c r="U357" t="s">
        <v>948</v>
      </c>
      <c r="V357" t="str">
        <f>_xlfn.XLOOKUP(U357, Mapping!$A$2:$A$48, Mapping!$B$2:$B$48, "Unknown County")</f>
        <v>Nairobi</v>
      </c>
    </row>
    <row r="358" spans="1:22" x14ac:dyDescent="0.3">
      <c r="A358" t="s">
        <v>192</v>
      </c>
      <c r="B358" t="s">
        <v>21</v>
      </c>
      <c r="C358" s="3">
        <v>45111</v>
      </c>
      <c r="D358" t="s">
        <v>22</v>
      </c>
      <c r="E358" t="s">
        <v>1162</v>
      </c>
      <c r="F358" s="7">
        <v>17</v>
      </c>
      <c r="H358" t="s">
        <v>28</v>
      </c>
      <c r="I358" t="s">
        <v>70</v>
      </c>
      <c r="J358" t="s">
        <v>25</v>
      </c>
      <c r="K358" t="s">
        <v>71</v>
      </c>
      <c r="L358" t="s">
        <v>85</v>
      </c>
      <c r="M358" t="s">
        <v>1163</v>
      </c>
      <c r="N358" t="s">
        <v>509</v>
      </c>
      <c r="O358" s="3"/>
      <c r="Q358" t="s">
        <v>28</v>
      </c>
      <c r="T358" t="s">
        <v>1164</v>
      </c>
      <c r="U358" t="s">
        <v>1170</v>
      </c>
      <c r="V358" t="str">
        <f>_xlfn.XLOOKUP(U358, Mapping!$A$2:$A$48, Mapping!$B$2:$B$48, "Unknown County")</f>
        <v>Rift Valley</v>
      </c>
    </row>
    <row r="359" spans="1:22" x14ac:dyDescent="0.3">
      <c r="A359" t="s">
        <v>1166</v>
      </c>
      <c r="B359" t="s">
        <v>267</v>
      </c>
      <c r="C359" s="3">
        <v>44275</v>
      </c>
      <c r="D359" t="s">
        <v>22</v>
      </c>
      <c r="E359" t="s">
        <v>1167</v>
      </c>
      <c r="F359" s="7">
        <v>22</v>
      </c>
      <c r="H359" t="s">
        <v>1168</v>
      </c>
      <c r="I359" t="s">
        <v>186</v>
      </c>
      <c r="J359" t="s">
        <v>83</v>
      </c>
      <c r="K359" t="s">
        <v>26</v>
      </c>
      <c r="L359" t="s">
        <v>59</v>
      </c>
      <c r="M359" t="s">
        <v>60</v>
      </c>
      <c r="N359" t="s">
        <v>28</v>
      </c>
      <c r="O359" s="3"/>
      <c r="P359" s="3">
        <v>44275</v>
      </c>
      <c r="Q359" t="s">
        <v>29</v>
      </c>
      <c r="S359" s="7">
        <v>2820</v>
      </c>
      <c r="T359" t="s">
        <v>1169</v>
      </c>
      <c r="U359" t="s">
        <v>1170</v>
      </c>
      <c r="V359" t="str">
        <f>_xlfn.XLOOKUP(U359, Mapping!$A$2:$A$48, Mapping!$B$2:$B$48, "Unknown County")</f>
        <v>Rift Valley</v>
      </c>
    </row>
    <row r="360" spans="1:22" x14ac:dyDescent="0.3">
      <c r="A360" t="s">
        <v>1171</v>
      </c>
      <c r="B360" t="s">
        <v>143</v>
      </c>
      <c r="C360" s="3">
        <v>42387</v>
      </c>
      <c r="D360" t="s">
        <v>22</v>
      </c>
      <c r="E360" t="s">
        <v>1172</v>
      </c>
      <c r="F360" s="7">
        <v>20</v>
      </c>
      <c r="H360" t="s">
        <v>28</v>
      </c>
      <c r="I360" t="s">
        <v>82</v>
      </c>
      <c r="J360" t="s">
        <v>172</v>
      </c>
      <c r="K360" t="s">
        <v>28</v>
      </c>
      <c r="L360" t="s">
        <v>46</v>
      </c>
      <c r="M360" t="s">
        <v>28</v>
      </c>
      <c r="N360" t="s">
        <v>35</v>
      </c>
      <c r="O360" s="3"/>
      <c r="Q360" t="s">
        <v>28</v>
      </c>
      <c r="T360" t="s">
        <v>1173</v>
      </c>
      <c r="U360" t="s">
        <v>1170</v>
      </c>
      <c r="V360" t="str">
        <f>_xlfn.XLOOKUP(U360, Mapping!$A$2:$A$48, Mapping!$B$2:$B$48, "Unknown County")</f>
        <v>Rift Valley</v>
      </c>
    </row>
    <row r="361" spans="1:22" x14ac:dyDescent="0.3">
      <c r="A361" t="s">
        <v>1174</v>
      </c>
      <c r="B361" t="s">
        <v>58</v>
      </c>
      <c r="C361" s="3">
        <v>42712</v>
      </c>
      <c r="D361" t="s">
        <v>22</v>
      </c>
      <c r="E361" t="s">
        <v>1175</v>
      </c>
      <c r="F361" s="7"/>
      <c r="H361" t="s">
        <v>28</v>
      </c>
      <c r="I361" t="s">
        <v>1585</v>
      </c>
      <c r="J361" t="s">
        <v>25</v>
      </c>
      <c r="K361" t="s">
        <v>26</v>
      </c>
      <c r="L361" t="s">
        <v>33</v>
      </c>
      <c r="M361" t="s">
        <v>225</v>
      </c>
      <c r="N361" t="s">
        <v>28</v>
      </c>
      <c r="O361" s="3"/>
      <c r="Q361" t="s">
        <v>28</v>
      </c>
      <c r="T361" t="s">
        <v>1176</v>
      </c>
      <c r="U361" t="s">
        <v>1170</v>
      </c>
      <c r="V361" t="str">
        <f>_xlfn.XLOOKUP(U361, Mapping!$A$2:$A$48, Mapping!$B$2:$B$48, "Unknown County")</f>
        <v>Rift Valley</v>
      </c>
    </row>
    <row r="362" spans="1:22" x14ac:dyDescent="0.3">
      <c r="A362" t="s">
        <v>1177</v>
      </c>
      <c r="B362" t="s">
        <v>58</v>
      </c>
      <c r="C362" s="3">
        <v>42779</v>
      </c>
      <c r="D362" t="s">
        <v>22</v>
      </c>
      <c r="E362" t="s">
        <v>28</v>
      </c>
      <c r="F362" s="7">
        <v>75</v>
      </c>
      <c r="H362" t="s">
        <v>28</v>
      </c>
      <c r="I362" t="s">
        <v>82</v>
      </c>
      <c r="J362" t="s">
        <v>28</v>
      </c>
      <c r="K362" t="s">
        <v>84</v>
      </c>
      <c r="L362" t="s">
        <v>40</v>
      </c>
      <c r="M362" t="s">
        <v>28</v>
      </c>
      <c r="N362" t="s">
        <v>35</v>
      </c>
      <c r="O362" s="3"/>
      <c r="Q362" t="s">
        <v>28</v>
      </c>
      <c r="T362" t="s">
        <v>1178</v>
      </c>
      <c r="U362" t="s">
        <v>1170</v>
      </c>
      <c r="V362" t="str">
        <f>_xlfn.XLOOKUP(U362, Mapping!$A$2:$A$48, Mapping!$B$2:$B$48, "Unknown County")</f>
        <v>Rift Valley</v>
      </c>
    </row>
    <row r="363" spans="1:22" x14ac:dyDescent="0.3">
      <c r="A363" t="s">
        <v>1179</v>
      </c>
      <c r="B363" t="s">
        <v>58</v>
      </c>
      <c r="C363" s="3">
        <v>42998</v>
      </c>
      <c r="D363" t="s">
        <v>22</v>
      </c>
      <c r="E363" t="s">
        <v>1180</v>
      </c>
      <c r="F363" s="7"/>
      <c r="H363" t="s">
        <v>1181</v>
      </c>
      <c r="I363" t="s">
        <v>39</v>
      </c>
      <c r="J363" t="s">
        <v>25</v>
      </c>
      <c r="K363" t="s">
        <v>26</v>
      </c>
      <c r="L363" t="s">
        <v>59</v>
      </c>
      <c r="M363" t="s">
        <v>34</v>
      </c>
      <c r="N363" t="s">
        <v>28</v>
      </c>
      <c r="O363" s="3"/>
      <c r="Q363" t="s">
        <v>28</v>
      </c>
      <c r="T363" t="s">
        <v>1182</v>
      </c>
      <c r="U363" t="s">
        <v>1170</v>
      </c>
      <c r="V363" t="str">
        <f>_xlfn.XLOOKUP(U363, Mapping!$A$2:$A$48, Mapping!$B$2:$B$48, "Unknown County")</f>
        <v>Rift Valley</v>
      </c>
    </row>
    <row r="364" spans="1:22" x14ac:dyDescent="0.3">
      <c r="A364" t="s">
        <v>1183</v>
      </c>
      <c r="B364" t="s">
        <v>171</v>
      </c>
      <c r="C364" s="3">
        <v>43005</v>
      </c>
      <c r="D364" t="s">
        <v>22</v>
      </c>
      <c r="E364" t="s">
        <v>1184</v>
      </c>
      <c r="F364" s="7">
        <v>25</v>
      </c>
      <c r="H364" t="s">
        <v>1185</v>
      </c>
      <c r="I364" t="s">
        <v>70</v>
      </c>
      <c r="J364" t="s">
        <v>25</v>
      </c>
      <c r="K364" t="s">
        <v>26</v>
      </c>
      <c r="L364" t="s">
        <v>139</v>
      </c>
      <c r="M364" t="s">
        <v>34</v>
      </c>
      <c r="N364" t="s">
        <v>174</v>
      </c>
      <c r="O364" s="3"/>
      <c r="Q364" t="s">
        <v>28</v>
      </c>
      <c r="T364" t="s">
        <v>1186</v>
      </c>
      <c r="U364" t="s">
        <v>1170</v>
      </c>
      <c r="V364" t="str">
        <f>_xlfn.XLOOKUP(U364, Mapping!$A$2:$A$48, Mapping!$B$2:$B$48, "Unknown County")</f>
        <v>Rift Valley</v>
      </c>
    </row>
    <row r="365" spans="1:22" x14ac:dyDescent="0.3">
      <c r="A365" t="s">
        <v>1174</v>
      </c>
      <c r="B365" t="s">
        <v>58</v>
      </c>
      <c r="C365" s="3">
        <v>43081</v>
      </c>
      <c r="D365" t="s">
        <v>22</v>
      </c>
      <c r="E365" t="s">
        <v>28</v>
      </c>
      <c r="F365" s="7"/>
      <c r="H365" t="s">
        <v>28</v>
      </c>
      <c r="I365" t="s">
        <v>82</v>
      </c>
      <c r="J365" t="s">
        <v>28</v>
      </c>
      <c r="K365" t="s">
        <v>84</v>
      </c>
      <c r="L365" t="s">
        <v>40</v>
      </c>
      <c r="M365" t="s">
        <v>28</v>
      </c>
      <c r="N365" t="s">
        <v>35</v>
      </c>
      <c r="O365" s="3"/>
      <c r="Q365" t="s">
        <v>28</v>
      </c>
      <c r="T365" t="s">
        <v>1187</v>
      </c>
      <c r="U365" t="s">
        <v>1170</v>
      </c>
      <c r="V365" t="str">
        <f>_xlfn.XLOOKUP(U365, Mapping!$A$2:$A$48, Mapping!$B$2:$B$48, "Unknown County")</f>
        <v>Rift Valley</v>
      </c>
    </row>
    <row r="366" spans="1:22" x14ac:dyDescent="0.3">
      <c r="A366" t="s">
        <v>996</v>
      </c>
      <c r="B366" t="s">
        <v>21</v>
      </c>
      <c r="C366" s="3">
        <v>43105</v>
      </c>
      <c r="D366" t="s">
        <v>22</v>
      </c>
      <c r="E366" t="s">
        <v>1188</v>
      </c>
      <c r="F366" s="7">
        <v>31</v>
      </c>
      <c r="H366" t="s">
        <v>1189</v>
      </c>
      <c r="I366" t="s">
        <v>70</v>
      </c>
      <c r="J366" t="s">
        <v>25</v>
      </c>
      <c r="K366" t="s">
        <v>26</v>
      </c>
      <c r="L366" t="s">
        <v>139</v>
      </c>
      <c r="M366" t="s">
        <v>34</v>
      </c>
      <c r="N366" t="s">
        <v>35</v>
      </c>
      <c r="O366" s="3"/>
      <c r="Q366" t="s">
        <v>28</v>
      </c>
      <c r="T366" t="s">
        <v>1190</v>
      </c>
      <c r="U366" t="s">
        <v>1170</v>
      </c>
      <c r="V366" t="str">
        <f>_xlfn.XLOOKUP(U366, Mapping!$A$2:$A$48, Mapping!$B$2:$B$48, "Unknown County")</f>
        <v>Rift Valley</v>
      </c>
    </row>
    <row r="367" spans="1:22" x14ac:dyDescent="0.3">
      <c r="A367" t="s">
        <v>1174</v>
      </c>
      <c r="B367" t="s">
        <v>58</v>
      </c>
      <c r="C367" s="3">
        <v>43150</v>
      </c>
      <c r="D367" t="s">
        <v>22</v>
      </c>
      <c r="E367" t="s">
        <v>1191</v>
      </c>
      <c r="F367" s="7">
        <v>22</v>
      </c>
      <c r="H367" t="s">
        <v>1192</v>
      </c>
      <c r="I367" t="s">
        <v>1585</v>
      </c>
      <c r="J367" t="s">
        <v>25</v>
      </c>
      <c r="K367" t="s">
        <v>71</v>
      </c>
      <c r="L367" t="s">
        <v>59</v>
      </c>
      <c r="M367" t="s">
        <v>28</v>
      </c>
      <c r="N367" t="s">
        <v>28</v>
      </c>
      <c r="O367" s="3">
        <v>43152</v>
      </c>
      <c r="P367" s="3">
        <v>44840</v>
      </c>
      <c r="Q367" t="s">
        <v>41</v>
      </c>
      <c r="R367" s="7">
        <v>10</v>
      </c>
      <c r="S367" s="7">
        <v>1690</v>
      </c>
      <c r="T367" t="s">
        <v>1193</v>
      </c>
      <c r="U367" t="s">
        <v>1170</v>
      </c>
      <c r="V367" t="str">
        <f>_xlfn.XLOOKUP(U367, Mapping!$A$2:$A$48, Mapping!$B$2:$B$48, "Unknown County")</f>
        <v>Rift Valley</v>
      </c>
    </row>
    <row r="368" spans="1:22" x14ac:dyDescent="0.3">
      <c r="A368" t="s">
        <v>1194</v>
      </c>
      <c r="B368" t="s">
        <v>135</v>
      </c>
      <c r="C368" s="3">
        <v>43174</v>
      </c>
      <c r="D368" t="s">
        <v>22</v>
      </c>
      <c r="E368" t="s">
        <v>1195</v>
      </c>
      <c r="F368" s="7">
        <v>26</v>
      </c>
      <c r="H368" t="s">
        <v>1196</v>
      </c>
      <c r="I368" t="s">
        <v>39</v>
      </c>
      <c r="J368" t="s">
        <v>25</v>
      </c>
      <c r="K368" t="s">
        <v>26</v>
      </c>
      <c r="L368" t="s">
        <v>139</v>
      </c>
      <c r="M368" t="s">
        <v>34</v>
      </c>
      <c r="N368" t="s">
        <v>274</v>
      </c>
      <c r="O368" s="3">
        <v>43173</v>
      </c>
      <c r="Q368" t="s">
        <v>28</v>
      </c>
      <c r="T368" t="s">
        <v>1197</v>
      </c>
      <c r="U368" t="s">
        <v>1170</v>
      </c>
      <c r="V368" t="str">
        <f>_xlfn.XLOOKUP(U368, Mapping!$A$2:$A$48, Mapping!$B$2:$B$48, "Unknown County")</f>
        <v>Rift Valley</v>
      </c>
    </row>
    <row r="369" spans="1:22" x14ac:dyDescent="0.3">
      <c r="A369" t="s">
        <v>1198</v>
      </c>
      <c r="B369" t="s">
        <v>21</v>
      </c>
      <c r="C369" s="3">
        <v>43180</v>
      </c>
      <c r="D369" t="s">
        <v>22</v>
      </c>
      <c r="E369" t="s">
        <v>1199</v>
      </c>
      <c r="F369" s="7">
        <v>36</v>
      </c>
      <c r="H369" t="s">
        <v>1200</v>
      </c>
      <c r="I369" t="s">
        <v>39</v>
      </c>
      <c r="J369" t="s">
        <v>25</v>
      </c>
      <c r="K369" t="s">
        <v>26</v>
      </c>
      <c r="L369" t="s">
        <v>72</v>
      </c>
      <c r="M369" t="s">
        <v>60</v>
      </c>
      <c r="N369" t="s">
        <v>35</v>
      </c>
      <c r="O369" s="3"/>
      <c r="Q369" t="s">
        <v>28</v>
      </c>
      <c r="T369" t="s">
        <v>1201</v>
      </c>
      <c r="U369" t="s">
        <v>1170</v>
      </c>
      <c r="V369" t="str">
        <f>_xlfn.XLOOKUP(U369, Mapping!$A$2:$A$48, Mapping!$B$2:$B$48, "Unknown County")</f>
        <v>Rift Valley</v>
      </c>
    </row>
    <row r="370" spans="1:22" x14ac:dyDescent="0.3">
      <c r="A370" t="s">
        <v>1202</v>
      </c>
      <c r="B370" t="s">
        <v>58</v>
      </c>
      <c r="C370" s="3">
        <v>43235</v>
      </c>
      <c r="D370" t="s">
        <v>22</v>
      </c>
      <c r="E370" t="s">
        <v>28</v>
      </c>
      <c r="F370" s="7"/>
      <c r="G370" s="3">
        <v>43234</v>
      </c>
      <c r="H370" t="s">
        <v>28</v>
      </c>
      <c r="I370" t="s">
        <v>39</v>
      </c>
      <c r="J370" t="s">
        <v>25</v>
      </c>
      <c r="K370" t="s">
        <v>26</v>
      </c>
      <c r="L370" t="s">
        <v>33</v>
      </c>
      <c r="M370" t="s">
        <v>34</v>
      </c>
      <c r="N370" t="s">
        <v>35</v>
      </c>
      <c r="O370" s="3"/>
      <c r="Q370" t="s">
        <v>28</v>
      </c>
      <c r="T370" t="s">
        <v>1203</v>
      </c>
      <c r="U370" t="s">
        <v>1170</v>
      </c>
      <c r="V370" t="str">
        <f>_xlfn.XLOOKUP(U370, Mapping!$A$2:$A$48, Mapping!$B$2:$B$48, "Unknown County")</f>
        <v>Rift Valley</v>
      </c>
    </row>
    <row r="371" spans="1:22" x14ac:dyDescent="0.3">
      <c r="A371" t="s">
        <v>1204</v>
      </c>
      <c r="B371" t="s">
        <v>171</v>
      </c>
      <c r="C371" s="3">
        <v>43235</v>
      </c>
      <c r="D371" t="s">
        <v>22</v>
      </c>
      <c r="E371" t="s">
        <v>28</v>
      </c>
      <c r="F371" s="7"/>
      <c r="G371" s="3">
        <v>43234</v>
      </c>
      <c r="H371" t="s">
        <v>1205</v>
      </c>
      <c r="I371" t="s">
        <v>39</v>
      </c>
      <c r="J371" t="s">
        <v>25</v>
      </c>
      <c r="K371" t="s">
        <v>26</v>
      </c>
      <c r="L371" t="s">
        <v>258</v>
      </c>
      <c r="M371" t="s">
        <v>34</v>
      </c>
      <c r="N371" t="s">
        <v>35</v>
      </c>
      <c r="O371" s="3"/>
      <c r="Q371" t="s">
        <v>28</v>
      </c>
      <c r="T371" t="s">
        <v>300</v>
      </c>
      <c r="U371" t="s">
        <v>1170</v>
      </c>
      <c r="V371" t="str">
        <f>_xlfn.XLOOKUP(U371, Mapping!$A$2:$A$48, Mapping!$B$2:$B$48, "Unknown County")</f>
        <v>Rift Valley</v>
      </c>
    </row>
    <row r="372" spans="1:22" x14ac:dyDescent="0.3">
      <c r="A372" t="s">
        <v>1177</v>
      </c>
      <c r="B372" t="s">
        <v>58</v>
      </c>
      <c r="C372" s="3">
        <v>43276</v>
      </c>
      <c r="D372" t="s">
        <v>22</v>
      </c>
      <c r="E372" t="s">
        <v>28</v>
      </c>
      <c r="F372" s="7">
        <v>56</v>
      </c>
      <c r="H372" t="s">
        <v>28</v>
      </c>
      <c r="I372" t="s">
        <v>70</v>
      </c>
      <c r="J372" t="s">
        <v>25</v>
      </c>
      <c r="K372" t="s">
        <v>84</v>
      </c>
      <c r="L372" t="s">
        <v>59</v>
      </c>
      <c r="M372" t="s">
        <v>28</v>
      </c>
      <c r="N372" t="s">
        <v>35</v>
      </c>
      <c r="O372" s="3"/>
      <c r="Q372" t="s">
        <v>28</v>
      </c>
      <c r="T372" t="s">
        <v>1206</v>
      </c>
      <c r="U372" t="s">
        <v>1170</v>
      </c>
      <c r="V372" t="str">
        <f>_xlfn.XLOOKUP(U372, Mapping!$A$2:$A$48, Mapping!$B$2:$B$48, "Unknown County")</f>
        <v>Rift Valley</v>
      </c>
    </row>
    <row r="373" spans="1:22" x14ac:dyDescent="0.3">
      <c r="A373" t="s">
        <v>1207</v>
      </c>
      <c r="B373" t="s">
        <v>63</v>
      </c>
      <c r="C373" s="3">
        <v>43306</v>
      </c>
      <c r="D373" t="s">
        <v>22</v>
      </c>
      <c r="E373" t="s">
        <v>1208</v>
      </c>
      <c r="F373" s="7">
        <v>27</v>
      </c>
      <c r="H373" t="s">
        <v>1209</v>
      </c>
      <c r="I373" t="s">
        <v>186</v>
      </c>
      <c r="J373" t="s">
        <v>83</v>
      </c>
      <c r="K373" t="s">
        <v>84</v>
      </c>
      <c r="L373" t="s">
        <v>165</v>
      </c>
      <c r="M373" t="s">
        <v>28</v>
      </c>
      <c r="N373" t="s">
        <v>1384</v>
      </c>
      <c r="O373" s="3">
        <v>43311</v>
      </c>
      <c r="Q373" t="s">
        <v>28</v>
      </c>
      <c r="T373" t="s">
        <v>1210</v>
      </c>
      <c r="U373" t="s">
        <v>1170</v>
      </c>
      <c r="V373" t="str">
        <f>_xlfn.XLOOKUP(U373, Mapping!$A$2:$A$48, Mapping!$B$2:$B$48, "Unknown County")</f>
        <v>Rift Valley</v>
      </c>
    </row>
    <row r="374" spans="1:22" x14ac:dyDescent="0.3">
      <c r="A374" t="s">
        <v>1177</v>
      </c>
      <c r="B374" t="s">
        <v>58</v>
      </c>
      <c r="C374" s="3">
        <v>43294</v>
      </c>
      <c r="D374" t="s">
        <v>22</v>
      </c>
      <c r="E374" t="s">
        <v>1211</v>
      </c>
      <c r="F374" s="7">
        <v>22</v>
      </c>
      <c r="H374" t="s">
        <v>28</v>
      </c>
      <c r="I374" t="s">
        <v>70</v>
      </c>
      <c r="J374" t="s">
        <v>25</v>
      </c>
      <c r="K374" t="s">
        <v>84</v>
      </c>
      <c r="L374" t="s">
        <v>46</v>
      </c>
      <c r="M374" t="s">
        <v>34</v>
      </c>
      <c r="N374" t="s">
        <v>35</v>
      </c>
      <c r="O374" s="3"/>
      <c r="Q374" t="s">
        <v>28</v>
      </c>
      <c r="T374" t="s">
        <v>1165</v>
      </c>
      <c r="U374" t="s">
        <v>1170</v>
      </c>
      <c r="V374" t="str">
        <f>_xlfn.XLOOKUP(U374, Mapping!$A$2:$A$48, Mapping!$B$2:$B$48, "Unknown County")</f>
        <v>Rift Valley</v>
      </c>
    </row>
    <row r="375" spans="1:22" x14ac:dyDescent="0.3">
      <c r="A375" t="s">
        <v>1177</v>
      </c>
      <c r="B375" t="s">
        <v>58</v>
      </c>
      <c r="C375" s="3">
        <v>43369</v>
      </c>
      <c r="D375" t="s">
        <v>22</v>
      </c>
      <c r="E375" t="s">
        <v>1212</v>
      </c>
      <c r="F375" s="7"/>
      <c r="H375" t="s">
        <v>28</v>
      </c>
      <c r="I375" t="s">
        <v>82</v>
      </c>
      <c r="J375" t="s">
        <v>28</v>
      </c>
      <c r="K375" t="s">
        <v>84</v>
      </c>
      <c r="L375" t="s">
        <v>40</v>
      </c>
      <c r="M375" t="s">
        <v>28</v>
      </c>
      <c r="N375" t="s">
        <v>35</v>
      </c>
      <c r="O375" s="3"/>
      <c r="Q375" t="s">
        <v>28</v>
      </c>
      <c r="T375" t="s">
        <v>1213</v>
      </c>
      <c r="U375" t="s">
        <v>1170</v>
      </c>
      <c r="V375" t="str">
        <f>_xlfn.XLOOKUP(U375, Mapping!$A$2:$A$48, Mapping!$B$2:$B$48, "Unknown County")</f>
        <v>Rift Valley</v>
      </c>
    </row>
    <row r="376" spans="1:22" x14ac:dyDescent="0.3">
      <c r="A376" t="s">
        <v>1174</v>
      </c>
      <c r="B376" t="s">
        <v>135</v>
      </c>
      <c r="C376" s="3">
        <v>43379</v>
      </c>
      <c r="D376" t="s">
        <v>22</v>
      </c>
      <c r="E376" t="s">
        <v>1214</v>
      </c>
      <c r="F376" s="7"/>
      <c r="H376" t="s">
        <v>1215</v>
      </c>
      <c r="I376" t="s">
        <v>70</v>
      </c>
      <c r="J376" t="s">
        <v>25</v>
      </c>
      <c r="K376" t="s">
        <v>26</v>
      </c>
      <c r="L376" t="s">
        <v>258</v>
      </c>
      <c r="M376" t="s">
        <v>34</v>
      </c>
      <c r="N376" t="s">
        <v>432</v>
      </c>
      <c r="O376" s="3"/>
      <c r="Q376" t="s">
        <v>28</v>
      </c>
      <c r="T376" t="s">
        <v>1216</v>
      </c>
      <c r="U376" t="s">
        <v>1170</v>
      </c>
      <c r="V376" t="str">
        <f>_xlfn.XLOOKUP(U376, Mapping!$A$2:$A$48, Mapping!$B$2:$B$48, "Unknown County")</f>
        <v>Rift Valley</v>
      </c>
    </row>
    <row r="377" spans="1:22" x14ac:dyDescent="0.3">
      <c r="A377" t="s">
        <v>1217</v>
      </c>
      <c r="B377" t="s">
        <v>58</v>
      </c>
      <c r="C377" s="3">
        <v>43394</v>
      </c>
      <c r="D377" t="s">
        <v>22</v>
      </c>
      <c r="E377" t="s">
        <v>1218</v>
      </c>
      <c r="F377" s="7">
        <v>26</v>
      </c>
      <c r="H377" t="s">
        <v>1219</v>
      </c>
      <c r="I377" t="s">
        <v>82</v>
      </c>
      <c r="J377" t="s">
        <v>28</v>
      </c>
      <c r="K377" t="s">
        <v>84</v>
      </c>
      <c r="L377" t="s">
        <v>33</v>
      </c>
      <c r="M377" t="s">
        <v>28</v>
      </c>
      <c r="N377" t="s">
        <v>35</v>
      </c>
      <c r="O377" s="3"/>
      <c r="Q377" t="s">
        <v>28</v>
      </c>
      <c r="T377" t="s">
        <v>1220</v>
      </c>
      <c r="U377" t="s">
        <v>1170</v>
      </c>
      <c r="V377" t="str">
        <f>_xlfn.XLOOKUP(U377, Mapping!$A$2:$A$48, Mapping!$B$2:$B$48, "Unknown County")</f>
        <v>Rift Valley</v>
      </c>
    </row>
    <row r="378" spans="1:22" x14ac:dyDescent="0.3">
      <c r="A378" t="s">
        <v>377</v>
      </c>
      <c r="B378" t="s">
        <v>279</v>
      </c>
      <c r="C378" s="3">
        <v>43411</v>
      </c>
      <c r="D378" t="s">
        <v>22</v>
      </c>
      <c r="E378" t="s">
        <v>1221</v>
      </c>
      <c r="F378" s="7">
        <v>22</v>
      </c>
      <c r="H378" t="s">
        <v>1222</v>
      </c>
      <c r="I378" t="s">
        <v>39</v>
      </c>
      <c r="J378" t="s">
        <v>25</v>
      </c>
      <c r="K378" t="s">
        <v>26</v>
      </c>
      <c r="L378" t="s">
        <v>139</v>
      </c>
      <c r="M378" t="s">
        <v>34</v>
      </c>
      <c r="N378" t="s">
        <v>35</v>
      </c>
      <c r="O378" s="3"/>
      <c r="Q378" t="s">
        <v>28</v>
      </c>
      <c r="T378" t="s">
        <v>1223</v>
      </c>
      <c r="U378" t="s">
        <v>1170</v>
      </c>
      <c r="V378" t="str">
        <f>_xlfn.XLOOKUP(U378, Mapping!$A$2:$A$48, Mapping!$B$2:$B$48, "Unknown County")</f>
        <v>Rift Valley</v>
      </c>
    </row>
    <row r="379" spans="1:22" x14ac:dyDescent="0.3">
      <c r="A379" t="s">
        <v>1224</v>
      </c>
      <c r="B379" t="s">
        <v>58</v>
      </c>
      <c r="C379" s="3">
        <v>43427</v>
      </c>
      <c r="D379" t="s">
        <v>22</v>
      </c>
      <c r="E379" t="s">
        <v>1225</v>
      </c>
      <c r="F379" s="7">
        <v>26</v>
      </c>
      <c r="H379" t="s">
        <v>1226</v>
      </c>
      <c r="I379" t="s">
        <v>39</v>
      </c>
      <c r="J379" t="s">
        <v>25</v>
      </c>
      <c r="K379" t="s">
        <v>26</v>
      </c>
      <c r="L379" t="s">
        <v>59</v>
      </c>
      <c r="M379" t="s">
        <v>34</v>
      </c>
      <c r="N379" t="s">
        <v>35</v>
      </c>
      <c r="O379" s="3"/>
      <c r="Q379" t="s">
        <v>28</v>
      </c>
      <c r="T379" t="s">
        <v>1227</v>
      </c>
      <c r="U379" t="s">
        <v>1170</v>
      </c>
      <c r="V379" t="str">
        <f>_xlfn.XLOOKUP(U379, Mapping!$A$2:$A$48, Mapping!$B$2:$B$48, "Unknown County")</f>
        <v>Rift Valley</v>
      </c>
    </row>
    <row r="380" spans="1:22" x14ac:dyDescent="0.3">
      <c r="A380" t="s">
        <v>28</v>
      </c>
      <c r="B380" t="s">
        <v>21</v>
      </c>
      <c r="D380" t="s">
        <v>22</v>
      </c>
      <c r="E380" t="s">
        <v>1228</v>
      </c>
      <c r="F380" s="7">
        <v>23</v>
      </c>
      <c r="H380" t="s">
        <v>28</v>
      </c>
      <c r="I380" t="s">
        <v>39</v>
      </c>
      <c r="J380" t="s">
        <v>28</v>
      </c>
      <c r="K380" t="s">
        <v>28</v>
      </c>
      <c r="L380" t="s">
        <v>46</v>
      </c>
      <c r="M380" t="s">
        <v>28</v>
      </c>
      <c r="N380" t="s">
        <v>28</v>
      </c>
      <c r="O380" s="3"/>
      <c r="Q380" t="s">
        <v>28</v>
      </c>
      <c r="T380" t="s">
        <v>1229</v>
      </c>
      <c r="U380" t="s">
        <v>1170</v>
      </c>
      <c r="V380" t="str">
        <f>_xlfn.XLOOKUP(U380, Mapping!$A$2:$A$48, Mapping!$B$2:$B$48, "Unknown County")</f>
        <v>Rift Valley</v>
      </c>
    </row>
    <row r="381" spans="1:22" x14ac:dyDescent="0.3">
      <c r="A381" t="s">
        <v>1230</v>
      </c>
      <c r="B381" t="s">
        <v>63</v>
      </c>
      <c r="C381" s="3">
        <v>43485</v>
      </c>
      <c r="D381" t="s">
        <v>22</v>
      </c>
      <c r="E381" t="s">
        <v>28</v>
      </c>
      <c r="F381" s="7"/>
      <c r="H381" t="s">
        <v>28</v>
      </c>
      <c r="I381" t="s">
        <v>82</v>
      </c>
      <c r="J381" t="s">
        <v>28</v>
      </c>
      <c r="K381" t="s">
        <v>84</v>
      </c>
      <c r="L381" t="s">
        <v>33</v>
      </c>
      <c r="M381" t="s">
        <v>28</v>
      </c>
      <c r="N381" t="s">
        <v>35</v>
      </c>
      <c r="O381" s="3"/>
      <c r="Q381" t="s">
        <v>28</v>
      </c>
      <c r="T381" t="s">
        <v>1165</v>
      </c>
      <c r="U381" t="s">
        <v>1170</v>
      </c>
      <c r="V381" t="str">
        <f>_xlfn.XLOOKUP(U381, Mapping!$A$2:$A$48, Mapping!$B$2:$B$48, "Unknown County")</f>
        <v>Rift Valley</v>
      </c>
    </row>
    <row r="382" spans="1:22" x14ac:dyDescent="0.3">
      <c r="A382" t="s">
        <v>1198</v>
      </c>
      <c r="B382" t="s">
        <v>21</v>
      </c>
      <c r="C382" s="3">
        <v>43500</v>
      </c>
      <c r="D382" t="s">
        <v>22</v>
      </c>
      <c r="E382" t="s">
        <v>28</v>
      </c>
      <c r="F382" s="7"/>
      <c r="H382" t="s">
        <v>28</v>
      </c>
      <c r="I382" t="s">
        <v>70</v>
      </c>
      <c r="J382" t="s">
        <v>25</v>
      </c>
      <c r="K382" t="s">
        <v>26</v>
      </c>
      <c r="L382" t="s">
        <v>40</v>
      </c>
      <c r="M382" t="s">
        <v>28</v>
      </c>
      <c r="N382" t="s">
        <v>35</v>
      </c>
      <c r="O382" s="3"/>
      <c r="Q382" t="s">
        <v>28</v>
      </c>
      <c r="T382" t="s">
        <v>1165</v>
      </c>
      <c r="U382" t="s">
        <v>1170</v>
      </c>
      <c r="V382" t="str">
        <f>_xlfn.XLOOKUP(U382, Mapping!$A$2:$A$48, Mapping!$B$2:$B$48, "Unknown County")</f>
        <v>Rift Valley</v>
      </c>
    </row>
    <row r="383" spans="1:22" x14ac:dyDescent="0.3">
      <c r="A383" t="s">
        <v>28</v>
      </c>
      <c r="B383" t="s">
        <v>143</v>
      </c>
      <c r="D383" t="s">
        <v>22</v>
      </c>
      <c r="E383" t="s">
        <v>1231</v>
      </c>
      <c r="F383" s="7"/>
      <c r="H383" t="s">
        <v>28</v>
      </c>
      <c r="I383" t="s">
        <v>70</v>
      </c>
      <c r="J383" t="s">
        <v>28</v>
      </c>
      <c r="K383" t="s">
        <v>28</v>
      </c>
      <c r="L383" t="s">
        <v>46</v>
      </c>
      <c r="M383" t="s">
        <v>28</v>
      </c>
      <c r="N383" t="s">
        <v>28</v>
      </c>
      <c r="O383" s="3"/>
      <c r="Q383" t="s">
        <v>28</v>
      </c>
      <c r="T383" t="s">
        <v>1229</v>
      </c>
      <c r="U383" t="s">
        <v>1170</v>
      </c>
      <c r="V383" t="str">
        <f>_xlfn.XLOOKUP(U383, Mapping!$A$2:$A$48, Mapping!$B$2:$B$48, "Unknown County")</f>
        <v>Rift Valley</v>
      </c>
    </row>
    <row r="384" spans="1:22" x14ac:dyDescent="0.3">
      <c r="A384" t="s">
        <v>28</v>
      </c>
      <c r="B384" t="s">
        <v>63</v>
      </c>
      <c r="D384" t="s">
        <v>22</v>
      </c>
      <c r="E384" t="s">
        <v>1232</v>
      </c>
      <c r="F384" s="7">
        <v>25</v>
      </c>
      <c r="H384" t="s">
        <v>28</v>
      </c>
      <c r="I384" t="s">
        <v>70</v>
      </c>
      <c r="J384" t="s">
        <v>28</v>
      </c>
      <c r="K384" t="s">
        <v>28</v>
      </c>
      <c r="L384" t="s">
        <v>46</v>
      </c>
      <c r="M384" t="s">
        <v>28</v>
      </c>
      <c r="N384" t="s">
        <v>28</v>
      </c>
      <c r="O384" s="3"/>
      <c r="Q384" t="s">
        <v>28</v>
      </c>
      <c r="T384" t="s">
        <v>1229</v>
      </c>
      <c r="U384" t="s">
        <v>1170</v>
      </c>
      <c r="V384" t="str">
        <f>_xlfn.XLOOKUP(U384, Mapping!$A$2:$A$48, Mapping!$B$2:$B$48, "Unknown County")</f>
        <v>Rift Valley</v>
      </c>
    </row>
    <row r="385" spans="1:22" x14ac:dyDescent="0.3">
      <c r="A385" t="s">
        <v>28</v>
      </c>
      <c r="B385" t="s">
        <v>28</v>
      </c>
      <c r="D385" t="s">
        <v>22</v>
      </c>
      <c r="E385" t="s">
        <v>1233</v>
      </c>
      <c r="F385" s="7">
        <v>32</v>
      </c>
      <c r="G385" s="3">
        <v>43603</v>
      </c>
      <c r="H385" t="s">
        <v>28</v>
      </c>
      <c r="I385" t="s">
        <v>70</v>
      </c>
      <c r="J385" t="s">
        <v>28</v>
      </c>
      <c r="K385" t="s">
        <v>28</v>
      </c>
      <c r="L385" t="s">
        <v>46</v>
      </c>
      <c r="M385" t="s">
        <v>28</v>
      </c>
      <c r="N385" t="s">
        <v>28</v>
      </c>
      <c r="O385" s="3"/>
      <c r="Q385" t="s">
        <v>28</v>
      </c>
      <c r="T385" t="s">
        <v>1229</v>
      </c>
      <c r="U385" t="s">
        <v>1170</v>
      </c>
      <c r="V385" t="str">
        <f>_xlfn.XLOOKUP(U385, Mapping!$A$2:$A$48, Mapping!$B$2:$B$48, "Unknown County")</f>
        <v>Rift Valley</v>
      </c>
    </row>
    <row r="386" spans="1:22" x14ac:dyDescent="0.3">
      <c r="A386" t="s">
        <v>1234</v>
      </c>
      <c r="B386" t="s">
        <v>63</v>
      </c>
      <c r="C386" s="3">
        <v>43652</v>
      </c>
      <c r="D386" t="s">
        <v>22</v>
      </c>
      <c r="E386" t="s">
        <v>1235</v>
      </c>
      <c r="F386" s="7"/>
      <c r="H386" t="s">
        <v>1236</v>
      </c>
      <c r="I386" t="s">
        <v>82</v>
      </c>
      <c r="J386" t="s">
        <v>28</v>
      </c>
      <c r="K386" t="s">
        <v>26</v>
      </c>
      <c r="L386" t="s">
        <v>33</v>
      </c>
      <c r="M386" t="s">
        <v>28</v>
      </c>
      <c r="N386" t="s">
        <v>35</v>
      </c>
      <c r="O386" s="3"/>
      <c r="Q386" t="s">
        <v>28</v>
      </c>
      <c r="T386" t="s">
        <v>1237</v>
      </c>
      <c r="U386" t="s">
        <v>1170</v>
      </c>
      <c r="V386" t="str">
        <f>_xlfn.XLOOKUP(U386, Mapping!$A$2:$A$48, Mapping!$B$2:$B$48, "Unknown County")</f>
        <v>Rift Valley</v>
      </c>
    </row>
    <row r="387" spans="1:22" x14ac:dyDescent="0.3">
      <c r="A387" t="s">
        <v>1238</v>
      </c>
      <c r="B387" t="s">
        <v>63</v>
      </c>
      <c r="C387" s="3">
        <v>43743</v>
      </c>
      <c r="D387" t="s">
        <v>22</v>
      </c>
      <c r="E387" t="s">
        <v>1239</v>
      </c>
      <c r="F387" s="7"/>
      <c r="H387" t="s">
        <v>1240</v>
      </c>
      <c r="I387" t="s">
        <v>39</v>
      </c>
      <c r="J387" t="s">
        <v>25</v>
      </c>
      <c r="K387" t="s">
        <v>26</v>
      </c>
      <c r="L387" t="s">
        <v>72</v>
      </c>
      <c r="M387" t="s">
        <v>34</v>
      </c>
      <c r="N387" t="s">
        <v>35</v>
      </c>
      <c r="O387" s="3"/>
      <c r="Q387" t="s">
        <v>28</v>
      </c>
      <c r="T387" t="s">
        <v>28</v>
      </c>
      <c r="U387" t="s">
        <v>1170</v>
      </c>
      <c r="V387" t="str">
        <f>_xlfn.XLOOKUP(U387, Mapping!$A$2:$A$48, Mapping!$B$2:$B$48, "Unknown County")</f>
        <v>Rift Valley</v>
      </c>
    </row>
    <row r="388" spans="1:22" x14ac:dyDescent="0.3">
      <c r="A388" t="s">
        <v>1198</v>
      </c>
      <c r="B388" t="s">
        <v>21</v>
      </c>
      <c r="C388" s="3">
        <v>43746</v>
      </c>
      <c r="D388" t="s">
        <v>22</v>
      </c>
      <c r="E388" t="s">
        <v>28</v>
      </c>
      <c r="F388" s="7"/>
      <c r="H388" t="s">
        <v>28</v>
      </c>
      <c r="I388" t="s">
        <v>39</v>
      </c>
      <c r="J388" t="s">
        <v>25</v>
      </c>
      <c r="K388" t="s">
        <v>26</v>
      </c>
      <c r="L388" t="s">
        <v>33</v>
      </c>
      <c r="M388" t="s">
        <v>60</v>
      </c>
      <c r="N388" t="s">
        <v>35</v>
      </c>
      <c r="O388" s="3"/>
      <c r="Q388" t="s">
        <v>28</v>
      </c>
      <c r="T388" t="s">
        <v>1241</v>
      </c>
      <c r="U388" t="s">
        <v>1170</v>
      </c>
      <c r="V388" t="str">
        <f>_xlfn.XLOOKUP(U388, Mapping!$A$2:$A$48, Mapping!$B$2:$B$48, "Unknown County")</f>
        <v>Rift Valley</v>
      </c>
    </row>
    <row r="389" spans="1:22" x14ac:dyDescent="0.3">
      <c r="A389" t="s">
        <v>1207</v>
      </c>
      <c r="B389" t="s">
        <v>63</v>
      </c>
      <c r="C389" s="3">
        <v>43788</v>
      </c>
      <c r="D389" t="s">
        <v>22</v>
      </c>
      <c r="E389" t="s">
        <v>1242</v>
      </c>
      <c r="F389" s="7"/>
      <c r="H389" t="s">
        <v>1243</v>
      </c>
      <c r="I389" t="s">
        <v>1584</v>
      </c>
      <c r="J389" t="s">
        <v>25</v>
      </c>
      <c r="K389" t="s">
        <v>84</v>
      </c>
      <c r="L389" t="s">
        <v>165</v>
      </c>
      <c r="M389" t="s">
        <v>34</v>
      </c>
      <c r="N389" t="s">
        <v>140</v>
      </c>
      <c r="O389" s="3"/>
      <c r="Q389" t="s">
        <v>28</v>
      </c>
      <c r="T389" t="s">
        <v>1244</v>
      </c>
      <c r="U389" t="s">
        <v>1170</v>
      </c>
      <c r="V389" t="str">
        <f>_xlfn.XLOOKUP(U389, Mapping!$A$2:$A$48, Mapping!$B$2:$B$48, "Unknown County")</f>
        <v>Rift Valley</v>
      </c>
    </row>
    <row r="390" spans="1:22" x14ac:dyDescent="0.3">
      <c r="A390" t="s">
        <v>1198</v>
      </c>
      <c r="B390" t="s">
        <v>21</v>
      </c>
      <c r="C390" s="3">
        <v>43795</v>
      </c>
      <c r="D390" t="s">
        <v>22</v>
      </c>
      <c r="E390" t="s">
        <v>1245</v>
      </c>
      <c r="F390" s="7"/>
      <c r="H390" t="s">
        <v>28</v>
      </c>
      <c r="I390" t="s">
        <v>70</v>
      </c>
      <c r="J390" t="s">
        <v>25</v>
      </c>
      <c r="K390" t="s">
        <v>84</v>
      </c>
      <c r="L390" t="s">
        <v>33</v>
      </c>
      <c r="M390" t="s">
        <v>28</v>
      </c>
      <c r="N390" t="s">
        <v>35</v>
      </c>
      <c r="O390" s="3"/>
      <c r="Q390" t="s">
        <v>28</v>
      </c>
      <c r="T390" t="s">
        <v>1213</v>
      </c>
      <c r="U390" t="s">
        <v>1170</v>
      </c>
      <c r="V390" t="str">
        <f>_xlfn.XLOOKUP(U390, Mapping!$A$2:$A$48, Mapping!$B$2:$B$48, "Unknown County")</f>
        <v>Rift Valley</v>
      </c>
    </row>
    <row r="391" spans="1:22" x14ac:dyDescent="0.3">
      <c r="A391" t="s">
        <v>442</v>
      </c>
      <c r="B391" t="s">
        <v>21</v>
      </c>
      <c r="C391" s="3">
        <v>43831</v>
      </c>
      <c r="D391" t="s">
        <v>22</v>
      </c>
      <c r="E391" t="s">
        <v>1246</v>
      </c>
      <c r="F391" s="7">
        <v>35</v>
      </c>
      <c r="H391" t="s">
        <v>1247</v>
      </c>
      <c r="I391" t="s">
        <v>39</v>
      </c>
      <c r="J391" t="s">
        <v>25</v>
      </c>
      <c r="K391" t="s">
        <v>84</v>
      </c>
      <c r="L391" t="s">
        <v>33</v>
      </c>
      <c r="M391" t="s">
        <v>34</v>
      </c>
      <c r="N391" t="s">
        <v>35</v>
      </c>
      <c r="O391" s="3"/>
      <c r="Q391" t="s">
        <v>28</v>
      </c>
      <c r="T391" t="s">
        <v>1248</v>
      </c>
      <c r="U391" t="s">
        <v>1170</v>
      </c>
      <c r="V391" t="str">
        <f>_xlfn.XLOOKUP(U391, Mapping!$A$2:$A$48, Mapping!$B$2:$B$48, "Unknown County")</f>
        <v>Rift Valley</v>
      </c>
    </row>
    <row r="392" spans="1:22" x14ac:dyDescent="0.3">
      <c r="A392" t="s">
        <v>28</v>
      </c>
      <c r="B392" t="s">
        <v>63</v>
      </c>
      <c r="C392" s="3">
        <v>44005</v>
      </c>
      <c r="D392" t="s">
        <v>22</v>
      </c>
      <c r="E392" t="s">
        <v>1249</v>
      </c>
      <c r="F392" s="7"/>
      <c r="H392" t="s">
        <v>1250</v>
      </c>
      <c r="I392" t="s">
        <v>39</v>
      </c>
      <c r="J392" t="s">
        <v>25</v>
      </c>
      <c r="K392" t="s">
        <v>26</v>
      </c>
      <c r="L392" t="s">
        <v>165</v>
      </c>
      <c r="M392" t="s">
        <v>34</v>
      </c>
      <c r="N392" t="s">
        <v>1384</v>
      </c>
      <c r="O392" s="3">
        <v>44005</v>
      </c>
      <c r="Q392" t="s">
        <v>28</v>
      </c>
      <c r="T392" t="s">
        <v>1251</v>
      </c>
      <c r="U392" t="s">
        <v>1170</v>
      </c>
      <c r="V392" t="str">
        <f>_xlfn.XLOOKUP(U392, Mapping!$A$2:$A$48, Mapping!$B$2:$B$48, "Unknown County")</f>
        <v>Rift Valley</v>
      </c>
    </row>
    <row r="393" spans="1:22" x14ac:dyDescent="0.3">
      <c r="A393" t="s">
        <v>1252</v>
      </c>
      <c r="B393" t="s">
        <v>31</v>
      </c>
      <c r="D393" t="s">
        <v>22</v>
      </c>
      <c r="E393" t="s">
        <v>1253</v>
      </c>
      <c r="F393" s="7">
        <v>26</v>
      </c>
      <c r="H393" t="s">
        <v>1254</v>
      </c>
      <c r="I393" t="s">
        <v>39</v>
      </c>
      <c r="J393" t="s">
        <v>25</v>
      </c>
      <c r="K393" t="s">
        <v>71</v>
      </c>
      <c r="L393" t="s">
        <v>165</v>
      </c>
      <c r="M393" t="s">
        <v>1255</v>
      </c>
      <c r="N393" t="s">
        <v>28</v>
      </c>
      <c r="O393" s="3"/>
      <c r="Q393" t="s">
        <v>28</v>
      </c>
      <c r="T393" t="s">
        <v>1256</v>
      </c>
      <c r="U393" t="s">
        <v>1170</v>
      </c>
      <c r="V393" t="str">
        <f>_xlfn.XLOOKUP(U393, Mapping!$A$2:$A$48, Mapping!$B$2:$B$48, "Unknown County")</f>
        <v>Rift Valley</v>
      </c>
    </row>
    <row r="394" spans="1:22" x14ac:dyDescent="0.3">
      <c r="A394" t="s">
        <v>1198</v>
      </c>
      <c r="B394" t="s">
        <v>21</v>
      </c>
      <c r="C394" s="3">
        <v>44031</v>
      </c>
      <c r="D394" t="s">
        <v>22</v>
      </c>
      <c r="E394" t="s">
        <v>28</v>
      </c>
      <c r="F394" s="7"/>
      <c r="H394" t="s">
        <v>28</v>
      </c>
      <c r="I394" t="s">
        <v>82</v>
      </c>
      <c r="J394" t="s">
        <v>83</v>
      </c>
      <c r="K394" t="s">
        <v>84</v>
      </c>
      <c r="L394" t="s">
        <v>40</v>
      </c>
      <c r="M394" t="s">
        <v>28</v>
      </c>
      <c r="N394" t="s">
        <v>35</v>
      </c>
      <c r="O394" s="3"/>
      <c r="Q394" t="s">
        <v>28</v>
      </c>
      <c r="T394" t="s">
        <v>1257</v>
      </c>
      <c r="U394" t="s">
        <v>1170</v>
      </c>
      <c r="V394" t="str">
        <f>_xlfn.XLOOKUP(U394, Mapping!$A$2:$A$48, Mapping!$B$2:$B$48, "Unknown County")</f>
        <v>Rift Valley</v>
      </c>
    </row>
    <row r="395" spans="1:22" x14ac:dyDescent="0.3">
      <c r="A395" t="s">
        <v>28</v>
      </c>
      <c r="B395" t="s">
        <v>63</v>
      </c>
      <c r="C395" s="3">
        <v>44040</v>
      </c>
      <c r="D395" t="s">
        <v>22</v>
      </c>
      <c r="E395" t="s">
        <v>28</v>
      </c>
      <c r="F395" s="7"/>
      <c r="H395" t="s">
        <v>28</v>
      </c>
      <c r="I395" t="s">
        <v>39</v>
      </c>
      <c r="J395" t="s">
        <v>25</v>
      </c>
      <c r="K395" t="s">
        <v>26</v>
      </c>
      <c r="L395" t="s">
        <v>59</v>
      </c>
      <c r="M395" t="s">
        <v>34</v>
      </c>
      <c r="N395" t="s">
        <v>35</v>
      </c>
      <c r="O395" s="3"/>
      <c r="Q395" t="s">
        <v>28</v>
      </c>
      <c r="T395" t="s">
        <v>1213</v>
      </c>
      <c r="U395" t="s">
        <v>1170</v>
      </c>
      <c r="V395" t="str">
        <f>_xlfn.XLOOKUP(U395, Mapping!$A$2:$A$48, Mapping!$B$2:$B$48, "Unknown County")</f>
        <v>Rift Valley</v>
      </c>
    </row>
    <row r="396" spans="1:22" x14ac:dyDescent="0.3">
      <c r="A396" t="s">
        <v>1258</v>
      </c>
      <c r="B396" t="s">
        <v>339</v>
      </c>
      <c r="C396" s="3">
        <v>44044</v>
      </c>
      <c r="D396" t="s">
        <v>22</v>
      </c>
      <c r="E396" t="s">
        <v>1259</v>
      </c>
      <c r="F396" s="7">
        <v>25</v>
      </c>
      <c r="H396" t="s">
        <v>1260</v>
      </c>
      <c r="I396" t="s">
        <v>70</v>
      </c>
      <c r="J396" t="s">
        <v>25</v>
      </c>
      <c r="K396" t="s">
        <v>71</v>
      </c>
      <c r="L396" t="s">
        <v>165</v>
      </c>
      <c r="M396" t="s">
        <v>28</v>
      </c>
      <c r="N396" t="s">
        <v>972</v>
      </c>
      <c r="O396" s="3"/>
      <c r="Q396" t="s">
        <v>28</v>
      </c>
      <c r="T396" t="s">
        <v>1261</v>
      </c>
      <c r="U396" t="s">
        <v>1170</v>
      </c>
      <c r="V396" t="str">
        <f>_xlfn.XLOOKUP(U396, Mapping!$A$2:$A$48, Mapping!$B$2:$B$48, "Unknown County")</f>
        <v>Rift Valley</v>
      </c>
    </row>
    <row r="397" spans="1:22" x14ac:dyDescent="0.3">
      <c r="A397" t="s">
        <v>1198</v>
      </c>
      <c r="B397" t="s">
        <v>21</v>
      </c>
      <c r="C397" s="3">
        <v>44143</v>
      </c>
      <c r="D397" t="s">
        <v>22</v>
      </c>
      <c r="E397" t="s">
        <v>28</v>
      </c>
      <c r="F397" s="7">
        <v>18</v>
      </c>
      <c r="H397" t="s">
        <v>28</v>
      </c>
      <c r="I397" t="s">
        <v>70</v>
      </c>
      <c r="J397" t="s">
        <v>25</v>
      </c>
      <c r="K397" t="s">
        <v>26</v>
      </c>
      <c r="L397" t="s">
        <v>59</v>
      </c>
      <c r="M397" t="s">
        <v>28</v>
      </c>
      <c r="N397" t="s">
        <v>35</v>
      </c>
      <c r="O397" s="3"/>
      <c r="Q397" t="s">
        <v>28</v>
      </c>
      <c r="T397" t="s">
        <v>1165</v>
      </c>
      <c r="U397" t="s">
        <v>1170</v>
      </c>
      <c r="V397" t="str">
        <f>_xlfn.XLOOKUP(U397, Mapping!$A$2:$A$48, Mapping!$B$2:$B$48, "Unknown County")</f>
        <v>Rift Valley</v>
      </c>
    </row>
    <row r="398" spans="1:22" x14ac:dyDescent="0.3">
      <c r="A398" t="s">
        <v>1108</v>
      </c>
      <c r="B398" t="s">
        <v>21</v>
      </c>
      <c r="C398" s="3">
        <v>44121</v>
      </c>
      <c r="D398" t="s">
        <v>22</v>
      </c>
      <c r="E398" t="s">
        <v>1262</v>
      </c>
      <c r="F398" s="7">
        <v>23</v>
      </c>
      <c r="H398" t="s">
        <v>1263</v>
      </c>
      <c r="I398" t="s">
        <v>39</v>
      </c>
      <c r="J398" t="s">
        <v>25</v>
      </c>
      <c r="K398" t="s">
        <v>26</v>
      </c>
      <c r="L398" t="s">
        <v>59</v>
      </c>
      <c r="M398" t="s">
        <v>34</v>
      </c>
      <c r="N398" t="s">
        <v>35</v>
      </c>
      <c r="O398" s="3"/>
      <c r="Q398" t="s">
        <v>28</v>
      </c>
      <c r="T398" t="s">
        <v>1264</v>
      </c>
      <c r="U398" t="s">
        <v>1170</v>
      </c>
      <c r="V398" t="str">
        <f>_xlfn.XLOOKUP(U398, Mapping!$A$2:$A$48, Mapping!$B$2:$B$48, "Unknown County")</f>
        <v>Rift Valley</v>
      </c>
    </row>
    <row r="399" spans="1:22" x14ac:dyDescent="0.3">
      <c r="A399" t="s">
        <v>1217</v>
      </c>
      <c r="B399" t="s">
        <v>58</v>
      </c>
      <c r="C399" s="3">
        <v>44701</v>
      </c>
      <c r="D399" t="s">
        <v>22</v>
      </c>
      <c r="E399" t="s">
        <v>1265</v>
      </c>
      <c r="F399" s="7"/>
      <c r="H399" t="s">
        <v>1266</v>
      </c>
      <c r="I399" t="s">
        <v>186</v>
      </c>
      <c r="J399" t="s">
        <v>83</v>
      </c>
      <c r="K399" t="s">
        <v>26</v>
      </c>
      <c r="L399" t="s">
        <v>165</v>
      </c>
      <c r="M399" t="s">
        <v>964</v>
      </c>
      <c r="N399" t="s">
        <v>1384</v>
      </c>
      <c r="O399" s="3">
        <v>43971</v>
      </c>
      <c r="Q399" t="s">
        <v>28</v>
      </c>
      <c r="T399" t="s">
        <v>1193</v>
      </c>
      <c r="U399" t="s">
        <v>1170</v>
      </c>
      <c r="V399" t="str">
        <f>_xlfn.XLOOKUP(U399, Mapping!$A$2:$A$48, Mapping!$B$2:$B$48, "Unknown County")</f>
        <v>Rift Valley</v>
      </c>
    </row>
    <row r="400" spans="1:22" x14ac:dyDescent="0.3">
      <c r="A400" t="s">
        <v>1198</v>
      </c>
      <c r="B400" t="s">
        <v>21</v>
      </c>
      <c r="C400" s="3">
        <v>44228</v>
      </c>
      <c r="D400" t="s">
        <v>22</v>
      </c>
      <c r="E400" t="s">
        <v>1267</v>
      </c>
      <c r="F400" s="7">
        <v>37</v>
      </c>
      <c r="H400" t="s">
        <v>28</v>
      </c>
      <c r="I400" t="s">
        <v>70</v>
      </c>
      <c r="J400" t="s">
        <v>25</v>
      </c>
      <c r="K400" t="s">
        <v>26</v>
      </c>
      <c r="L400" t="s">
        <v>33</v>
      </c>
      <c r="M400" t="s">
        <v>60</v>
      </c>
      <c r="N400" t="s">
        <v>35</v>
      </c>
      <c r="O400" s="3"/>
      <c r="Q400" t="s">
        <v>28</v>
      </c>
      <c r="T400" t="s">
        <v>1165</v>
      </c>
      <c r="U400" t="s">
        <v>1170</v>
      </c>
      <c r="V400" t="str">
        <f>_xlfn.XLOOKUP(U400, Mapping!$A$2:$A$48, Mapping!$B$2:$B$48, "Unknown County")</f>
        <v>Rift Valley</v>
      </c>
    </row>
    <row r="401" spans="1:22" x14ac:dyDescent="0.3">
      <c r="A401" t="s">
        <v>1268</v>
      </c>
      <c r="B401" t="s">
        <v>21</v>
      </c>
      <c r="C401" s="3">
        <v>44196</v>
      </c>
      <c r="D401" t="s">
        <v>22</v>
      </c>
      <c r="E401" t="s">
        <v>28</v>
      </c>
      <c r="F401" s="7">
        <v>22</v>
      </c>
      <c r="H401" t="s">
        <v>1269</v>
      </c>
      <c r="I401" t="s">
        <v>70</v>
      </c>
      <c r="J401" t="s">
        <v>25</v>
      </c>
      <c r="K401" t="s">
        <v>26</v>
      </c>
      <c r="L401" t="s">
        <v>59</v>
      </c>
      <c r="M401" t="s">
        <v>34</v>
      </c>
      <c r="N401" t="s">
        <v>1384</v>
      </c>
      <c r="O401" s="3">
        <v>44200</v>
      </c>
      <c r="Q401" t="s">
        <v>28</v>
      </c>
      <c r="T401" t="s">
        <v>1270</v>
      </c>
      <c r="U401" t="s">
        <v>1170</v>
      </c>
      <c r="V401" t="str">
        <f>_xlfn.XLOOKUP(U401, Mapping!$A$2:$A$48, Mapping!$B$2:$B$48, "Unknown County")</f>
        <v>Rift Valley</v>
      </c>
    </row>
    <row r="402" spans="1:22" x14ac:dyDescent="0.3">
      <c r="A402" t="s">
        <v>1271</v>
      </c>
      <c r="B402" t="s">
        <v>267</v>
      </c>
      <c r="C402" s="3">
        <v>44227</v>
      </c>
      <c r="D402" t="s">
        <v>22</v>
      </c>
      <c r="E402" t="s">
        <v>895</v>
      </c>
      <c r="F402" s="7">
        <v>60</v>
      </c>
      <c r="H402" t="s">
        <v>28</v>
      </c>
      <c r="I402" t="s">
        <v>94</v>
      </c>
      <c r="J402" t="s">
        <v>28</v>
      </c>
      <c r="K402" t="s">
        <v>26</v>
      </c>
      <c r="L402" t="s">
        <v>59</v>
      </c>
      <c r="M402" t="s">
        <v>216</v>
      </c>
      <c r="N402" t="s">
        <v>35</v>
      </c>
      <c r="O402" s="3"/>
      <c r="Q402" t="s">
        <v>28</v>
      </c>
      <c r="T402" t="s">
        <v>1272</v>
      </c>
      <c r="U402" t="s">
        <v>1170</v>
      </c>
      <c r="V402" t="str">
        <f>_xlfn.XLOOKUP(U402, Mapping!$A$2:$A$48, Mapping!$B$2:$B$48, "Unknown County")</f>
        <v>Rift Valley</v>
      </c>
    </row>
    <row r="403" spans="1:22" x14ac:dyDescent="0.3">
      <c r="A403" t="s">
        <v>1198</v>
      </c>
      <c r="B403" t="s">
        <v>21</v>
      </c>
      <c r="C403" s="3">
        <v>44305</v>
      </c>
      <c r="D403" t="s">
        <v>22</v>
      </c>
      <c r="E403" t="s">
        <v>1273</v>
      </c>
      <c r="F403" s="7">
        <v>30</v>
      </c>
      <c r="H403" t="s">
        <v>1274</v>
      </c>
      <c r="I403" t="s">
        <v>70</v>
      </c>
      <c r="J403" t="s">
        <v>25</v>
      </c>
      <c r="K403" t="s">
        <v>26</v>
      </c>
      <c r="L403" t="s">
        <v>165</v>
      </c>
      <c r="M403" t="s">
        <v>60</v>
      </c>
      <c r="N403" t="s">
        <v>35</v>
      </c>
      <c r="O403" s="3"/>
      <c r="Q403" t="s">
        <v>28</v>
      </c>
      <c r="T403" t="s">
        <v>1275</v>
      </c>
      <c r="U403" t="s">
        <v>1170</v>
      </c>
      <c r="V403" t="str">
        <f>_xlfn.XLOOKUP(U403, Mapping!$A$2:$A$48, Mapping!$B$2:$B$48, "Unknown County")</f>
        <v>Rift Valley</v>
      </c>
    </row>
    <row r="404" spans="1:22" x14ac:dyDescent="0.3">
      <c r="A404" t="s">
        <v>1198</v>
      </c>
      <c r="B404" t="s">
        <v>21</v>
      </c>
      <c r="C404" s="3">
        <v>44291</v>
      </c>
      <c r="D404" t="s">
        <v>22</v>
      </c>
      <c r="E404" t="s">
        <v>28</v>
      </c>
      <c r="F404" s="7">
        <v>18</v>
      </c>
      <c r="H404" t="s">
        <v>28</v>
      </c>
      <c r="I404" t="s">
        <v>70</v>
      </c>
      <c r="J404" t="s">
        <v>25</v>
      </c>
      <c r="K404" t="s">
        <v>26</v>
      </c>
      <c r="L404" t="s">
        <v>33</v>
      </c>
      <c r="M404" t="s">
        <v>28</v>
      </c>
      <c r="N404" t="s">
        <v>35</v>
      </c>
      <c r="O404" s="3"/>
      <c r="Q404" t="s">
        <v>28</v>
      </c>
      <c r="T404" t="s">
        <v>1276</v>
      </c>
      <c r="U404" t="s">
        <v>1170</v>
      </c>
      <c r="V404" t="str">
        <f>_xlfn.XLOOKUP(U404, Mapping!$A$2:$A$48, Mapping!$B$2:$B$48, "Unknown County")</f>
        <v>Rift Valley</v>
      </c>
    </row>
    <row r="405" spans="1:22" x14ac:dyDescent="0.3">
      <c r="A405" t="s">
        <v>1177</v>
      </c>
      <c r="B405" t="s">
        <v>58</v>
      </c>
      <c r="C405" s="3">
        <v>44322</v>
      </c>
      <c r="D405" t="s">
        <v>22</v>
      </c>
      <c r="E405" t="s">
        <v>296</v>
      </c>
      <c r="F405" s="7">
        <v>32</v>
      </c>
      <c r="G405" s="3">
        <v>44322</v>
      </c>
      <c r="H405" t="s">
        <v>28</v>
      </c>
      <c r="I405" t="s">
        <v>70</v>
      </c>
      <c r="J405" t="s">
        <v>25</v>
      </c>
      <c r="K405" t="s">
        <v>84</v>
      </c>
      <c r="L405" t="s">
        <v>40</v>
      </c>
      <c r="M405" t="s">
        <v>28</v>
      </c>
      <c r="N405" t="s">
        <v>35</v>
      </c>
      <c r="O405" s="3"/>
      <c r="Q405" t="s">
        <v>28</v>
      </c>
      <c r="T405" t="s">
        <v>1165</v>
      </c>
      <c r="U405" t="s">
        <v>1170</v>
      </c>
      <c r="V405" t="str">
        <f>_xlfn.XLOOKUP(U405, Mapping!$A$2:$A$48, Mapping!$B$2:$B$48, "Unknown County")</f>
        <v>Rift Valley</v>
      </c>
    </row>
    <row r="406" spans="1:22" x14ac:dyDescent="0.3">
      <c r="A406" t="s">
        <v>1277</v>
      </c>
      <c r="B406" t="s">
        <v>21</v>
      </c>
      <c r="C406" s="3">
        <v>44348</v>
      </c>
      <c r="D406" t="s">
        <v>22</v>
      </c>
      <c r="E406" t="s">
        <v>1278</v>
      </c>
      <c r="F406" s="7"/>
      <c r="G406" s="3">
        <v>44347</v>
      </c>
      <c r="H406" t="s">
        <v>28</v>
      </c>
      <c r="I406" t="s">
        <v>39</v>
      </c>
      <c r="J406" t="s">
        <v>25</v>
      </c>
      <c r="K406" t="s">
        <v>26</v>
      </c>
      <c r="L406" t="s">
        <v>59</v>
      </c>
      <c r="M406" t="s">
        <v>225</v>
      </c>
      <c r="N406" t="s">
        <v>35</v>
      </c>
      <c r="O406" s="3"/>
      <c r="Q406" t="s">
        <v>28</v>
      </c>
      <c r="T406" t="s">
        <v>1279</v>
      </c>
      <c r="U406" t="s">
        <v>1170</v>
      </c>
      <c r="V406" t="str">
        <f>_xlfn.XLOOKUP(U406, Mapping!$A$2:$A$48, Mapping!$B$2:$B$48, "Unknown County")</f>
        <v>Rift Valley</v>
      </c>
    </row>
    <row r="407" spans="1:22" x14ac:dyDescent="0.3">
      <c r="A407" t="s">
        <v>1280</v>
      </c>
      <c r="B407" t="s">
        <v>31</v>
      </c>
      <c r="C407" s="3">
        <v>44408</v>
      </c>
      <c r="D407" t="s">
        <v>22</v>
      </c>
      <c r="E407" t="s">
        <v>28</v>
      </c>
      <c r="F407" s="7"/>
      <c r="H407" t="s">
        <v>28</v>
      </c>
      <c r="I407" t="s">
        <v>39</v>
      </c>
      <c r="J407" t="s">
        <v>25</v>
      </c>
      <c r="K407" t="s">
        <v>26</v>
      </c>
      <c r="L407" t="s">
        <v>59</v>
      </c>
      <c r="M407" t="s">
        <v>60</v>
      </c>
      <c r="N407" t="s">
        <v>35</v>
      </c>
      <c r="O407" s="3"/>
      <c r="Q407" t="s">
        <v>28</v>
      </c>
      <c r="T407" t="s">
        <v>1281</v>
      </c>
      <c r="U407" t="s">
        <v>1170</v>
      </c>
      <c r="V407" t="str">
        <f>_xlfn.XLOOKUP(U407, Mapping!$A$2:$A$48, Mapping!$B$2:$B$48, "Unknown County")</f>
        <v>Rift Valley</v>
      </c>
    </row>
    <row r="408" spans="1:22" x14ac:dyDescent="0.3">
      <c r="A408" t="s">
        <v>192</v>
      </c>
      <c r="B408" t="s">
        <v>21</v>
      </c>
      <c r="C408" s="3">
        <v>44431</v>
      </c>
      <c r="D408" t="s">
        <v>22</v>
      </c>
      <c r="E408" t="s">
        <v>1282</v>
      </c>
      <c r="F408" s="7">
        <v>29</v>
      </c>
      <c r="H408" t="s">
        <v>1283</v>
      </c>
      <c r="I408" t="s">
        <v>70</v>
      </c>
      <c r="J408" t="s">
        <v>25</v>
      </c>
      <c r="K408" t="s">
        <v>84</v>
      </c>
      <c r="L408" t="s">
        <v>139</v>
      </c>
      <c r="M408" t="s">
        <v>28</v>
      </c>
      <c r="N408" t="s">
        <v>140</v>
      </c>
      <c r="O408" s="3"/>
      <c r="Q408" t="s">
        <v>28</v>
      </c>
      <c r="T408" t="s">
        <v>1284</v>
      </c>
      <c r="U408" t="s">
        <v>1170</v>
      </c>
      <c r="V408" t="str">
        <f>_xlfn.XLOOKUP(U408, Mapping!$A$2:$A$48, Mapping!$B$2:$B$48, "Unknown County")</f>
        <v>Rift Valley</v>
      </c>
    </row>
    <row r="409" spans="1:22" x14ac:dyDescent="0.3">
      <c r="A409" t="s">
        <v>1268</v>
      </c>
      <c r="B409" t="s">
        <v>21</v>
      </c>
      <c r="C409" s="3">
        <v>44440</v>
      </c>
      <c r="D409" t="s">
        <v>22</v>
      </c>
      <c r="E409" t="s">
        <v>1285</v>
      </c>
      <c r="F409" s="7">
        <v>33</v>
      </c>
      <c r="H409" t="s">
        <v>1286</v>
      </c>
      <c r="I409" t="s">
        <v>70</v>
      </c>
      <c r="J409" t="s">
        <v>25</v>
      </c>
      <c r="K409" t="s">
        <v>26</v>
      </c>
      <c r="L409" t="s">
        <v>40</v>
      </c>
      <c r="M409" t="s">
        <v>34</v>
      </c>
      <c r="N409" t="s">
        <v>35</v>
      </c>
      <c r="O409" s="3"/>
      <c r="Q409" t="s">
        <v>28</v>
      </c>
      <c r="T409" t="s">
        <v>1287</v>
      </c>
      <c r="U409" t="s">
        <v>1170</v>
      </c>
      <c r="V409" t="str">
        <f>_xlfn.XLOOKUP(U409, Mapping!$A$2:$A$48, Mapping!$B$2:$B$48, "Unknown County")</f>
        <v>Rift Valley</v>
      </c>
    </row>
    <row r="410" spans="1:22" x14ac:dyDescent="0.3">
      <c r="A410" t="s">
        <v>1217</v>
      </c>
      <c r="B410" t="s">
        <v>58</v>
      </c>
      <c r="C410" s="3">
        <v>44492</v>
      </c>
      <c r="D410" t="s">
        <v>22</v>
      </c>
      <c r="E410" t="s">
        <v>1288</v>
      </c>
      <c r="F410" s="7"/>
      <c r="H410" t="s">
        <v>1289</v>
      </c>
      <c r="I410" t="s">
        <v>39</v>
      </c>
      <c r="J410" t="s">
        <v>25</v>
      </c>
      <c r="K410" t="s">
        <v>26</v>
      </c>
      <c r="L410" t="s">
        <v>59</v>
      </c>
      <c r="M410" t="s">
        <v>34</v>
      </c>
      <c r="N410" t="s">
        <v>1384</v>
      </c>
      <c r="O410" s="3">
        <v>44503</v>
      </c>
      <c r="Q410" t="s">
        <v>28</v>
      </c>
      <c r="T410" t="s">
        <v>1290</v>
      </c>
      <c r="U410" t="s">
        <v>1170</v>
      </c>
      <c r="V410" t="str">
        <f>_xlfn.XLOOKUP(U410, Mapping!$A$2:$A$48, Mapping!$B$2:$B$48, "Unknown County")</f>
        <v>Rift Valley</v>
      </c>
    </row>
    <row r="411" spans="1:22" x14ac:dyDescent="0.3">
      <c r="A411" t="s">
        <v>1224</v>
      </c>
      <c r="B411" t="s">
        <v>58</v>
      </c>
      <c r="C411" s="3">
        <v>44475</v>
      </c>
      <c r="D411" t="s">
        <v>22</v>
      </c>
      <c r="E411" t="s">
        <v>1291</v>
      </c>
      <c r="F411" s="7">
        <v>20</v>
      </c>
      <c r="H411" t="s">
        <v>224</v>
      </c>
      <c r="I411" t="s">
        <v>39</v>
      </c>
      <c r="J411" t="s">
        <v>25</v>
      </c>
      <c r="K411" t="s">
        <v>26</v>
      </c>
      <c r="L411" t="s">
        <v>59</v>
      </c>
      <c r="M411" t="s">
        <v>34</v>
      </c>
      <c r="N411" t="s">
        <v>35</v>
      </c>
      <c r="O411" s="3"/>
      <c r="Q411" t="s">
        <v>28</v>
      </c>
      <c r="T411" t="s">
        <v>1292</v>
      </c>
      <c r="U411" t="s">
        <v>1170</v>
      </c>
      <c r="V411" t="str">
        <f>_xlfn.XLOOKUP(U411, Mapping!$A$2:$A$48, Mapping!$B$2:$B$48, "Unknown County")</f>
        <v>Rift Valley</v>
      </c>
    </row>
    <row r="412" spans="1:22" x14ac:dyDescent="0.3">
      <c r="A412" t="s">
        <v>1177</v>
      </c>
      <c r="B412" t="s">
        <v>58</v>
      </c>
      <c r="C412" s="3">
        <v>44546</v>
      </c>
      <c r="D412" t="s">
        <v>22</v>
      </c>
      <c r="E412" t="s">
        <v>28</v>
      </c>
      <c r="F412" s="7"/>
      <c r="H412" t="s">
        <v>28</v>
      </c>
      <c r="I412" t="s">
        <v>70</v>
      </c>
      <c r="J412" t="s">
        <v>25</v>
      </c>
      <c r="K412" t="s">
        <v>26</v>
      </c>
      <c r="L412" t="s">
        <v>59</v>
      </c>
      <c r="M412" t="s">
        <v>60</v>
      </c>
      <c r="N412" t="s">
        <v>35</v>
      </c>
      <c r="O412" s="3"/>
      <c r="Q412" t="s">
        <v>28</v>
      </c>
      <c r="T412" t="s">
        <v>1293</v>
      </c>
      <c r="U412" t="s">
        <v>1170</v>
      </c>
      <c r="V412" t="str">
        <f>_xlfn.XLOOKUP(U412, Mapping!$A$2:$A$48, Mapping!$B$2:$B$48, "Unknown County")</f>
        <v>Rift Valley</v>
      </c>
    </row>
    <row r="413" spans="1:22" x14ac:dyDescent="0.3">
      <c r="A413" t="s">
        <v>192</v>
      </c>
      <c r="B413" t="s">
        <v>21</v>
      </c>
      <c r="C413" s="3">
        <v>44566</v>
      </c>
      <c r="D413" t="s">
        <v>22</v>
      </c>
      <c r="E413" t="s">
        <v>28</v>
      </c>
      <c r="F413" s="7"/>
      <c r="H413" t="s">
        <v>1294</v>
      </c>
      <c r="I413" t="s">
        <v>70</v>
      </c>
      <c r="J413" t="s">
        <v>25</v>
      </c>
      <c r="K413" t="s">
        <v>26</v>
      </c>
      <c r="L413" t="s">
        <v>33</v>
      </c>
      <c r="M413" t="s">
        <v>28</v>
      </c>
      <c r="N413" t="s">
        <v>35</v>
      </c>
      <c r="O413" s="3"/>
      <c r="Q413" t="s">
        <v>28</v>
      </c>
      <c r="T413" t="s">
        <v>1295</v>
      </c>
      <c r="U413" t="s">
        <v>1170</v>
      </c>
      <c r="V413" t="str">
        <f>_xlfn.XLOOKUP(U413, Mapping!$A$2:$A$48, Mapping!$B$2:$B$48, "Unknown County")</f>
        <v>Rift Valley</v>
      </c>
    </row>
    <row r="414" spans="1:22" x14ac:dyDescent="0.3">
      <c r="A414" t="s">
        <v>1224</v>
      </c>
      <c r="B414" t="s">
        <v>58</v>
      </c>
      <c r="C414" s="3">
        <v>44569</v>
      </c>
      <c r="D414" t="s">
        <v>22</v>
      </c>
      <c r="E414" t="s">
        <v>1296</v>
      </c>
      <c r="F414" s="7">
        <v>32</v>
      </c>
      <c r="H414" t="s">
        <v>28</v>
      </c>
      <c r="I414" t="s">
        <v>39</v>
      </c>
      <c r="J414" t="s">
        <v>25</v>
      </c>
      <c r="K414" t="s">
        <v>26</v>
      </c>
      <c r="L414" t="s">
        <v>72</v>
      </c>
      <c r="M414" t="s">
        <v>34</v>
      </c>
      <c r="N414" t="s">
        <v>35</v>
      </c>
      <c r="O414" s="3"/>
      <c r="Q414" t="s">
        <v>28</v>
      </c>
      <c r="T414" t="s">
        <v>1248</v>
      </c>
      <c r="U414" t="s">
        <v>1170</v>
      </c>
      <c r="V414" t="str">
        <f>_xlfn.XLOOKUP(U414, Mapping!$A$2:$A$48, Mapping!$B$2:$B$48, "Unknown County")</f>
        <v>Rift Valley</v>
      </c>
    </row>
    <row r="415" spans="1:22" x14ac:dyDescent="0.3">
      <c r="A415" t="s">
        <v>1297</v>
      </c>
      <c r="B415" t="s">
        <v>21</v>
      </c>
      <c r="C415" s="3">
        <v>44847</v>
      </c>
      <c r="D415" t="s">
        <v>22</v>
      </c>
      <c r="E415" t="s">
        <v>1298</v>
      </c>
      <c r="F415" s="7"/>
      <c r="H415" t="s">
        <v>28</v>
      </c>
      <c r="I415" t="s">
        <v>39</v>
      </c>
      <c r="J415" t="s">
        <v>25</v>
      </c>
      <c r="K415" t="s">
        <v>84</v>
      </c>
      <c r="L415" t="s">
        <v>59</v>
      </c>
      <c r="M415" t="s">
        <v>225</v>
      </c>
      <c r="N415" t="s">
        <v>35</v>
      </c>
      <c r="O415" s="3"/>
      <c r="Q415" t="s">
        <v>28</v>
      </c>
      <c r="T415" t="s">
        <v>1299</v>
      </c>
      <c r="U415" t="s">
        <v>1170</v>
      </c>
      <c r="V415" t="str">
        <f>_xlfn.XLOOKUP(U415, Mapping!$A$2:$A$48, Mapping!$B$2:$B$48, "Unknown County")</f>
        <v>Rift Valley</v>
      </c>
    </row>
    <row r="416" spans="1:22" x14ac:dyDescent="0.3">
      <c r="A416" t="s">
        <v>1268</v>
      </c>
      <c r="B416" t="s">
        <v>21</v>
      </c>
      <c r="C416" s="3">
        <v>44909</v>
      </c>
      <c r="D416" t="s">
        <v>22</v>
      </c>
      <c r="E416" t="s">
        <v>28</v>
      </c>
      <c r="F416" s="7">
        <v>30</v>
      </c>
      <c r="H416" t="s">
        <v>28</v>
      </c>
      <c r="I416" t="s">
        <v>39</v>
      </c>
      <c r="J416" t="s">
        <v>25</v>
      </c>
      <c r="K416" t="s">
        <v>26</v>
      </c>
      <c r="L416" t="s">
        <v>40</v>
      </c>
      <c r="M416" t="s">
        <v>34</v>
      </c>
      <c r="N416" t="s">
        <v>35</v>
      </c>
      <c r="O416" s="3"/>
      <c r="Q416" t="s">
        <v>28</v>
      </c>
      <c r="T416" t="s">
        <v>1300</v>
      </c>
      <c r="U416" t="s">
        <v>1170</v>
      </c>
      <c r="V416" t="str">
        <f>_xlfn.XLOOKUP(U416, Mapping!$A$2:$A$48, Mapping!$B$2:$B$48, "Unknown County")</f>
        <v>Rift Valley</v>
      </c>
    </row>
    <row r="417" spans="1:22" x14ac:dyDescent="0.3">
      <c r="A417" t="s">
        <v>1139</v>
      </c>
      <c r="B417" t="s">
        <v>63</v>
      </c>
      <c r="C417" s="3">
        <v>44993</v>
      </c>
      <c r="D417" t="s">
        <v>22</v>
      </c>
      <c r="E417" t="s">
        <v>1301</v>
      </c>
      <c r="F417" s="7">
        <v>41</v>
      </c>
      <c r="G417" s="3">
        <v>44992</v>
      </c>
      <c r="H417" t="s">
        <v>1302</v>
      </c>
      <c r="I417" t="s">
        <v>39</v>
      </c>
      <c r="J417" t="s">
        <v>25</v>
      </c>
      <c r="K417" t="s">
        <v>71</v>
      </c>
      <c r="L417" t="s">
        <v>59</v>
      </c>
      <c r="M417" t="s">
        <v>28</v>
      </c>
      <c r="N417" t="s">
        <v>35</v>
      </c>
      <c r="O417" s="3"/>
      <c r="Q417" t="s">
        <v>28</v>
      </c>
      <c r="T417" t="s">
        <v>1303</v>
      </c>
      <c r="U417" t="s">
        <v>1170</v>
      </c>
      <c r="V417" t="str">
        <f>_xlfn.XLOOKUP(U417, Mapping!$A$2:$A$48, Mapping!$B$2:$B$48, "Unknown County")</f>
        <v>Rift Valley</v>
      </c>
    </row>
    <row r="418" spans="1:22" x14ac:dyDescent="0.3">
      <c r="A418" t="s">
        <v>1217</v>
      </c>
      <c r="B418" t="s">
        <v>238</v>
      </c>
      <c r="C418" s="3">
        <v>45196</v>
      </c>
      <c r="D418" t="s">
        <v>22</v>
      </c>
      <c r="E418" t="s">
        <v>1304</v>
      </c>
      <c r="F418" s="7">
        <v>11</v>
      </c>
      <c r="H418" t="s">
        <v>1305</v>
      </c>
      <c r="I418" t="s">
        <v>82</v>
      </c>
      <c r="J418" t="s">
        <v>83</v>
      </c>
      <c r="K418" t="s">
        <v>84</v>
      </c>
      <c r="L418" t="s">
        <v>46</v>
      </c>
      <c r="M418" t="s">
        <v>28</v>
      </c>
      <c r="N418" t="s">
        <v>35</v>
      </c>
      <c r="O418" s="3"/>
      <c r="Q418" t="s">
        <v>28</v>
      </c>
      <c r="T418" t="s">
        <v>1306</v>
      </c>
      <c r="U418" t="s">
        <v>1170</v>
      </c>
      <c r="V418" t="str">
        <f>_xlfn.XLOOKUP(U418, Mapping!$A$2:$A$48, Mapping!$B$2:$B$48, "Unknown County")</f>
        <v>Rift Valley</v>
      </c>
    </row>
    <row r="419" spans="1:22" x14ac:dyDescent="0.3">
      <c r="A419" t="s">
        <v>1307</v>
      </c>
      <c r="B419" t="s">
        <v>135</v>
      </c>
      <c r="C419" s="3">
        <v>44237</v>
      </c>
      <c r="D419" t="s">
        <v>22</v>
      </c>
      <c r="E419" t="s">
        <v>28</v>
      </c>
      <c r="F419" s="7">
        <v>43</v>
      </c>
      <c r="H419" t="s">
        <v>1308</v>
      </c>
      <c r="I419" t="s">
        <v>39</v>
      </c>
      <c r="J419" t="s">
        <v>28</v>
      </c>
      <c r="K419" t="s">
        <v>71</v>
      </c>
      <c r="L419" t="s">
        <v>27</v>
      </c>
      <c r="M419" t="s">
        <v>28</v>
      </c>
      <c r="N419" t="s">
        <v>28</v>
      </c>
      <c r="O419" s="3"/>
      <c r="Q419" t="s">
        <v>28</v>
      </c>
      <c r="T419" t="s">
        <v>1309</v>
      </c>
      <c r="U419" t="s">
        <v>1170</v>
      </c>
      <c r="V419" t="str">
        <f>_xlfn.XLOOKUP(U419, Mapping!$A$2:$A$48, Mapping!$B$2:$B$48, "Unknown County")</f>
        <v>Rift Valley</v>
      </c>
    </row>
    <row r="420" spans="1:22" x14ac:dyDescent="0.3">
      <c r="A420" t="s">
        <v>1310</v>
      </c>
      <c r="B420" t="s">
        <v>58</v>
      </c>
      <c r="C420" s="3">
        <v>43314</v>
      </c>
      <c r="D420" t="s">
        <v>22</v>
      </c>
      <c r="E420" t="s">
        <v>1311</v>
      </c>
      <c r="F420" s="7">
        <v>30</v>
      </c>
      <c r="H420" t="s">
        <v>1312</v>
      </c>
      <c r="I420" t="s">
        <v>39</v>
      </c>
      <c r="J420" t="s">
        <v>25</v>
      </c>
      <c r="K420" t="s">
        <v>26</v>
      </c>
      <c r="L420" t="s">
        <v>33</v>
      </c>
      <c r="M420" t="s">
        <v>34</v>
      </c>
      <c r="N420" t="s">
        <v>28</v>
      </c>
      <c r="O420" s="3"/>
      <c r="Q420" t="s">
        <v>28</v>
      </c>
      <c r="T420" t="s">
        <v>1313</v>
      </c>
      <c r="U420" t="s">
        <v>1314</v>
      </c>
      <c r="V420" t="str">
        <f>_xlfn.XLOOKUP(U420, Mapping!$A$2:$A$48, Mapping!$B$2:$B$48, "Unknown County")</f>
        <v>Rift Valley</v>
      </c>
    </row>
    <row r="421" spans="1:22" x14ac:dyDescent="0.3">
      <c r="A421" t="s">
        <v>1315</v>
      </c>
      <c r="B421" t="s">
        <v>21</v>
      </c>
      <c r="C421" s="3">
        <v>43479</v>
      </c>
      <c r="D421" t="s">
        <v>22</v>
      </c>
      <c r="E421" t="s">
        <v>1316</v>
      </c>
      <c r="F421" s="7"/>
      <c r="H421" t="s">
        <v>28</v>
      </c>
      <c r="I421" t="s">
        <v>39</v>
      </c>
      <c r="J421" t="s">
        <v>25</v>
      </c>
      <c r="K421" t="s">
        <v>26</v>
      </c>
      <c r="L421" t="s">
        <v>33</v>
      </c>
      <c r="M421" t="s">
        <v>34</v>
      </c>
      <c r="N421" t="s">
        <v>35</v>
      </c>
      <c r="O421" s="3"/>
      <c r="Q421" t="s">
        <v>28</v>
      </c>
      <c r="T421" t="s">
        <v>1317</v>
      </c>
      <c r="U421" t="s">
        <v>1314</v>
      </c>
      <c r="V421" t="str">
        <f>_xlfn.XLOOKUP(U421, Mapping!$A$2:$A$48, Mapping!$B$2:$B$48, "Unknown County")</f>
        <v>Rift Valley</v>
      </c>
    </row>
    <row r="422" spans="1:22" x14ac:dyDescent="0.3">
      <c r="A422" t="s">
        <v>1318</v>
      </c>
      <c r="B422" t="s">
        <v>21</v>
      </c>
      <c r="C422" s="3">
        <v>43514</v>
      </c>
      <c r="D422" t="s">
        <v>22</v>
      </c>
      <c r="E422" t="s">
        <v>28</v>
      </c>
      <c r="F422" s="7">
        <v>21</v>
      </c>
      <c r="H422" t="s">
        <v>28</v>
      </c>
      <c r="I422" t="s">
        <v>82</v>
      </c>
      <c r="J422" t="s">
        <v>28</v>
      </c>
      <c r="K422" t="s">
        <v>106</v>
      </c>
      <c r="L422" t="s">
        <v>59</v>
      </c>
      <c r="M422" t="s">
        <v>964</v>
      </c>
      <c r="N422" t="s">
        <v>35</v>
      </c>
      <c r="O422" s="3"/>
      <c r="Q422" t="s">
        <v>28</v>
      </c>
      <c r="T422" t="s">
        <v>1319</v>
      </c>
      <c r="U422" t="s">
        <v>1314</v>
      </c>
      <c r="V422" t="str">
        <f>_xlfn.XLOOKUP(U422, Mapping!$A$2:$A$48, Mapping!$B$2:$B$48, "Unknown County")</f>
        <v>Rift Valley</v>
      </c>
    </row>
    <row r="423" spans="1:22" x14ac:dyDescent="0.3">
      <c r="A423" t="s">
        <v>28</v>
      </c>
      <c r="B423" t="s">
        <v>47</v>
      </c>
      <c r="D423" t="s">
        <v>22</v>
      </c>
      <c r="E423" t="s">
        <v>1320</v>
      </c>
      <c r="F423" s="7"/>
      <c r="H423" t="s">
        <v>28</v>
      </c>
      <c r="I423" t="s">
        <v>70</v>
      </c>
      <c r="J423" t="s">
        <v>28</v>
      </c>
      <c r="K423" t="s">
        <v>28</v>
      </c>
      <c r="L423" t="s">
        <v>46</v>
      </c>
      <c r="M423" t="s">
        <v>28</v>
      </c>
      <c r="N423" t="s">
        <v>28</v>
      </c>
      <c r="O423" s="3"/>
      <c r="Q423" t="s">
        <v>28</v>
      </c>
      <c r="T423" t="s">
        <v>1321</v>
      </c>
      <c r="U423" t="s">
        <v>1314</v>
      </c>
      <c r="V423" t="str">
        <f>_xlfn.XLOOKUP(U423, Mapping!$A$2:$A$48, Mapping!$B$2:$B$48, "Unknown County")</f>
        <v>Rift Valley</v>
      </c>
    </row>
    <row r="424" spans="1:22" x14ac:dyDescent="0.3">
      <c r="A424" t="s">
        <v>1322</v>
      </c>
      <c r="B424" t="s">
        <v>135</v>
      </c>
      <c r="C424" s="3">
        <v>44487</v>
      </c>
      <c r="D424" t="s">
        <v>22</v>
      </c>
      <c r="E424" t="s">
        <v>1323</v>
      </c>
      <c r="F424" s="7">
        <v>35</v>
      </c>
      <c r="H424" t="s">
        <v>1324</v>
      </c>
      <c r="I424" t="s">
        <v>70</v>
      </c>
      <c r="J424" t="s">
        <v>28</v>
      </c>
      <c r="K424" t="s">
        <v>26</v>
      </c>
      <c r="L424" t="s">
        <v>59</v>
      </c>
      <c r="M424" t="s">
        <v>28</v>
      </c>
      <c r="N424" t="s">
        <v>28</v>
      </c>
      <c r="O424" s="3"/>
      <c r="Q424" t="s">
        <v>28</v>
      </c>
      <c r="T424" t="s">
        <v>1325</v>
      </c>
      <c r="U424" t="s">
        <v>1314</v>
      </c>
      <c r="V424" t="str">
        <f>_xlfn.XLOOKUP(U424, Mapping!$A$2:$A$48, Mapping!$B$2:$B$48, "Unknown County")</f>
        <v>Rift Valley</v>
      </c>
    </row>
    <row r="425" spans="1:22" x14ac:dyDescent="0.3">
      <c r="A425" t="s">
        <v>1318</v>
      </c>
      <c r="B425" t="s">
        <v>21</v>
      </c>
      <c r="C425" s="3">
        <v>44704</v>
      </c>
      <c r="D425" t="s">
        <v>22</v>
      </c>
      <c r="E425" t="s">
        <v>28</v>
      </c>
      <c r="F425" s="7">
        <v>30</v>
      </c>
      <c r="G425" s="3">
        <v>44704</v>
      </c>
      <c r="H425" t="s">
        <v>1326</v>
      </c>
      <c r="I425" t="s">
        <v>70</v>
      </c>
      <c r="J425" t="s">
        <v>25</v>
      </c>
      <c r="K425" t="s">
        <v>26</v>
      </c>
      <c r="L425" t="s">
        <v>46</v>
      </c>
      <c r="M425" t="s">
        <v>28</v>
      </c>
      <c r="N425" t="s">
        <v>35</v>
      </c>
      <c r="O425" s="3"/>
      <c r="Q425" t="s">
        <v>28</v>
      </c>
      <c r="T425" t="s">
        <v>1327</v>
      </c>
      <c r="U425" t="s">
        <v>1314</v>
      </c>
      <c r="V425" t="str">
        <f>_xlfn.XLOOKUP(U425, Mapping!$A$2:$A$48, Mapping!$B$2:$B$48, "Unknown County")</f>
        <v>Rift Valley</v>
      </c>
    </row>
    <row r="426" spans="1:22" x14ac:dyDescent="0.3">
      <c r="A426" t="s">
        <v>1328</v>
      </c>
      <c r="B426" t="s">
        <v>377</v>
      </c>
      <c r="C426" s="3">
        <v>45177</v>
      </c>
      <c r="D426" t="s">
        <v>22</v>
      </c>
      <c r="E426" t="s">
        <v>1329</v>
      </c>
      <c r="F426" s="7">
        <v>36</v>
      </c>
      <c r="H426" t="s">
        <v>1330</v>
      </c>
      <c r="I426" t="s">
        <v>39</v>
      </c>
      <c r="J426" t="s">
        <v>88</v>
      </c>
      <c r="K426" t="s">
        <v>84</v>
      </c>
      <c r="L426" t="s">
        <v>40</v>
      </c>
      <c r="M426" t="s">
        <v>1331</v>
      </c>
      <c r="N426" t="s">
        <v>35</v>
      </c>
      <c r="O426" s="3"/>
      <c r="Q426" t="s">
        <v>28</v>
      </c>
      <c r="T426" t="s">
        <v>1332</v>
      </c>
      <c r="U426" t="s">
        <v>1314</v>
      </c>
      <c r="V426" t="str">
        <f>_xlfn.XLOOKUP(U426, Mapping!$A$2:$A$48, Mapping!$B$2:$B$48, "Unknown County")</f>
        <v>Rift Valley</v>
      </c>
    </row>
    <row r="427" spans="1:22" x14ac:dyDescent="0.3">
      <c r="A427" t="s">
        <v>28</v>
      </c>
      <c r="B427" t="s">
        <v>28</v>
      </c>
      <c r="C427" s="3">
        <v>44658</v>
      </c>
      <c r="D427" t="s">
        <v>22</v>
      </c>
      <c r="E427" t="s">
        <v>1333</v>
      </c>
      <c r="F427" s="7">
        <v>38</v>
      </c>
      <c r="H427" t="s">
        <v>1334</v>
      </c>
      <c r="I427" t="s">
        <v>39</v>
      </c>
      <c r="J427" t="s">
        <v>28</v>
      </c>
      <c r="K427" t="s">
        <v>71</v>
      </c>
      <c r="L427" t="s">
        <v>85</v>
      </c>
      <c r="M427" t="s">
        <v>28</v>
      </c>
      <c r="N427" t="s">
        <v>28</v>
      </c>
      <c r="O427" s="3"/>
      <c r="Q427" t="s">
        <v>28</v>
      </c>
      <c r="T427" t="s">
        <v>1335</v>
      </c>
      <c r="U427" t="s">
        <v>1314</v>
      </c>
      <c r="V427" t="str">
        <f>_xlfn.XLOOKUP(U427, Mapping!$A$2:$A$48, Mapping!$B$2:$B$48, "Unknown County")</f>
        <v>Rift Valley</v>
      </c>
    </row>
    <row r="428" spans="1:22" x14ac:dyDescent="0.3">
      <c r="A428" t="s">
        <v>1336</v>
      </c>
      <c r="B428" t="s">
        <v>63</v>
      </c>
      <c r="C428" s="3">
        <v>44937</v>
      </c>
      <c r="D428" t="s">
        <v>22</v>
      </c>
      <c r="E428" t="s">
        <v>1337</v>
      </c>
      <c r="F428" s="7">
        <v>13</v>
      </c>
      <c r="H428" t="s">
        <v>28</v>
      </c>
      <c r="I428" t="s">
        <v>82</v>
      </c>
      <c r="J428" t="s">
        <v>83</v>
      </c>
      <c r="K428" t="s">
        <v>302</v>
      </c>
      <c r="L428" t="s">
        <v>72</v>
      </c>
      <c r="M428" t="s">
        <v>28</v>
      </c>
      <c r="N428" t="s">
        <v>35</v>
      </c>
      <c r="O428" s="3"/>
      <c r="Q428" t="s">
        <v>28</v>
      </c>
      <c r="T428" t="s">
        <v>1338</v>
      </c>
      <c r="U428" t="s">
        <v>1339</v>
      </c>
      <c r="V428" t="str">
        <f>_xlfn.XLOOKUP(U428, Mapping!$A$2:$A$48, Mapping!$B$2:$B$48, "Unknown County")</f>
        <v>Unknown County</v>
      </c>
    </row>
    <row r="429" spans="1:22" x14ac:dyDescent="0.3">
      <c r="A429" t="s">
        <v>250</v>
      </c>
      <c r="B429" t="s">
        <v>63</v>
      </c>
      <c r="C429" s="3">
        <v>45051</v>
      </c>
      <c r="D429" t="s">
        <v>22</v>
      </c>
      <c r="E429" t="s">
        <v>1340</v>
      </c>
      <c r="F429" s="7">
        <v>20</v>
      </c>
      <c r="H429" t="s">
        <v>28</v>
      </c>
      <c r="I429" t="s">
        <v>82</v>
      </c>
      <c r="J429" t="s">
        <v>28</v>
      </c>
      <c r="K429" t="s">
        <v>302</v>
      </c>
      <c r="L429" t="s">
        <v>173</v>
      </c>
      <c r="M429" t="s">
        <v>28</v>
      </c>
      <c r="N429" t="s">
        <v>35</v>
      </c>
      <c r="O429" s="3"/>
      <c r="Q429" t="s">
        <v>28</v>
      </c>
      <c r="T429" t="s">
        <v>1341</v>
      </c>
      <c r="U429" t="s">
        <v>1342</v>
      </c>
      <c r="V429" t="str">
        <f>_xlfn.XLOOKUP(U429, Mapping!$A$2:$A$48, Mapping!$B$2:$B$48, "Unknown County")</f>
        <v>Rift Valley</v>
      </c>
    </row>
    <row r="430" spans="1:22" x14ac:dyDescent="0.3">
      <c r="A430" t="s">
        <v>1343</v>
      </c>
      <c r="B430" t="s">
        <v>58</v>
      </c>
      <c r="C430" s="3">
        <v>43378</v>
      </c>
      <c r="D430" t="s">
        <v>22</v>
      </c>
      <c r="E430" t="s">
        <v>28</v>
      </c>
      <c r="F430" s="7"/>
      <c r="H430" t="s">
        <v>1344</v>
      </c>
      <c r="I430" t="s">
        <v>39</v>
      </c>
      <c r="J430" t="s">
        <v>25</v>
      </c>
      <c r="K430" t="s">
        <v>26</v>
      </c>
      <c r="L430" t="s">
        <v>33</v>
      </c>
      <c r="M430" t="s">
        <v>34</v>
      </c>
      <c r="N430" t="s">
        <v>1384</v>
      </c>
      <c r="O430" s="3">
        <v>43376</v>
      </c>
      <c r="Q430" t="s">
        <v>28</v>
      </c>
      <c r="T430" t="s">
        <v>1345</v>
      </c>
      <c r="U430" t="s">
        <v>1346</v>
      </c>
      <c r="V430" t="str">
        <f>_xlfn.XLOOKUP(U430, Mapping!$A$2:$A$48, Mapping!$B$2:$B$48, "Unknown County")</f>
        <v>Nyanza</v>
      </c>
    </row>
    <row r="431" spans="1:22" x14ac:dyDescent="0.3">
      <c r="A431" t="s">
        <v>1347</v>
      </c>
      <c r="B431" t="s">
        <v>21</v>
      </c>
      <c r="C431" s="3">
        <v>43387</v>
      </c>
      <c r="D431" t="s">
        <v>22</v>
      </c>
      <c r="E431" t="s">
        <v>1348</v>
      </c>
      <c r="F431" s="7">
        <v>25</v>
      </c>
      <c r="H431" t="s">
        <v>28</v>
      </c>
      <c r="I431" t="s">
        <v>39</v>
      </c>
      <c r="J431" t="s">
        <v>25</v>
      </c>
      <c r="K431" t="s">
        <v>26</v>
      </c>
      <c r="L431" t="s">
        <v>46</v>
      </c>
      <c r="M431" t="s">
        <v>34</v>
      </c>
      <c r="N431" t="s">
        <v>35</v>
      </c>
      <c r="O431" s="3"/>
      <c r="Q431" t="s">
        <v>28</v>
      </c>
      <c r="T431" t="s">
        <v>1349</v>
      </c>
      <c r="U431" t="s">
        <v>1346</v>
      </c>
      <c r="V431" t="str">
        <f>_xlfn.XLOOKUP(U431, Mapping!$A$2:$A$48, Mapping!$B$2:$B$48, "Unknown County")</f>
        <v>Nyanza</v>
      </c>
    </row>
    <row r="432" spans="1:22" x14ac:dyDescent="0.3">
      <c r="A432" t="s">
        <v>1350</v>
      </c>
      <c r="B432" t="s">
        <v>135</v>
      </c>
      <c r="C432" s="3">
        <v>43856</v>
      </c>
      <c r="D432" t="s">
        <v>22</v>
      </c>
      <c r="E432" t="s">
        <v>1351</v>
      </c>
      <c r="F432" s="7">
        <v>60</v>
      </c>
      <c r="H432" t="s">
        <v>28</v>
      </c>
      <c r="I432" t="s">
        <v>82</v>
      </c>
      <c r="J432" t="s">
        <v>650</v>
      </c>
      <c r="K432" t="s">
        <v>84</v>
      </c>
      <c r="L432" t="s">
        <v>40</v>
      </c>
      <c r="M432" t="s">
        <v>28</v>
      </c>
      <c r="N432" t="s">
        <v>28</v>
      </c>
      <c r="O432" s="3"/>
      <c r="Q432" t="s">
        <v>28</v>
      </c>
      <c r="T432" t="s">
        <v>1352</v>
      </c>
      <c r="U432" t="s">
        <v>1346</v>
      </c>
      <c r="V432" t="str">
        <f>_xlfn.XLOOKUP(U432, Mapping!$A$2:$A$48, Mapping!$B$2:$B$48, "Unknown County")</f>
        <v>Nyanza</v>
      </c>
    </row>
    <row r="433" spans="1:22" x14ac:dyDescent="0.3">
      <c r="A433" t="s">
        <v>733</v>
      </c>
      <c r="B433" t="s">
        <v>21</v>
      </c>
      <c r="C433" s="3">
        <v>43059</v>
      </c>
      <c r="D433" t="s">
        <v>22</v>
      </c>
      <c r="E433" t="s">
        <v>1353</v>
      </c>
      <c r="F433" s="7">
        <v>23</v>
      </c>
      <c r="H433" t="s">
        <v>1354</v>
      </c>
      <c r="I433" t="s">
        <v>39</v>
      </c>
      <c r="J433" t="s">
        <v>25</v>
      </c>
      <c r="K433" t="s">
        <v>84</v>
      </c>
      <c r="L433" t="s">
        <v>40</v>
      </c>
      <c r="M433" t="s">
        <v>373</v>
      </c>
      <c r="N433" t="s">
        <v>174</v>
      </c>
      <c r="O433" s="3">
        <v>43059</v>
      </c>
      <c r="Q433" t="s">
        <v>28</v>
      </c>
      <c r="T433" t="s">
        <v>1355</v>
      </c>
      <c r="U433" t="s">
        <v>1356</v>
      </c>
      <c r="V433" t="str">
        <f>_xlfn.XLOOKUP(U433, Mapping!$A$2:$A$48, Mapping!$B$2:$B$48, "Unknown County")</f>
        <v>Central</v>
      </c>
    </row>
    <row r="434" spans="1:22" x14ac:dyDescent="0.3">
      <c r="A434" t="s">
        <v>733</v>
      </c>
      <c r="B434" t="s">
        <v>21</v>
      </c>
      <c r="C434" s="3">
        <v>43216</v>
      </c>
      <c r="D434" t="s">
        <v>22</v>
      </c>
      <c r="E434" t="s">
        <v>28</v>
      </c>
      <c r="F434" s="7">
        <v>18</v>
      </c>
      <c r="H434" t="s">
        <v>28</v>
      </c>
      <c r="I434" t="s">
        <v>82</v>
      </c>
      <c r="J434" t="s">
        <v>172</v>
      </c>
      <c r="K434" t="s">
        <v>302</v>
      </c>
      <c r="L434" t="s">
        <v>258</v>
      </c>
      <c r="M434" t="s">
        <v>28</v>
      </c>
      <c r="N434" t="s">
        <v>35</v>
      </c>
      <c r="O434" s="3"/>
      <c r="Q434" t="s">
        <v>28</v>
      </c>
      <c r="T434" t="s">
        <v>1357</v>
      </c>
      <c r="U434" t="s">
        <v>1356</v>
      </c>
      <c r="V434" t="str">
        <f>_xlfn.XLOOKUP(U434, Mapping!$A$2:$A$48, Mapping!$B$2:$B$48, "Unknown County")</f>
        <v>Central</v>
      </c>
    </row>
    <row r="435" spans="1:22" x14ac:dyDescent="0.3">
      <c r="A435" t="s">
        <v>1358</v>
      </c>
      <c r="B435" t="s">
        <v>63</v>
      </c>
      <c r="C435" s="3">
        <v>43416</v>
      </c>
      <c r="D435" t="s">
        <v>22</v>
      </c>
      <c r="E435" t="s">
        <v>1359</v>
      </c>
      <c r="F435" s="7">
        <v>16</v>
      </c>
      <c r="H435" t="s">
        <v>28</v>
      </c>
      <c r="I435" t="s">
        <v>82</v>
      </c>
      <c r="J435" t="s">
        <v>28</v>
      </c>
      <c r="K435" t="s">
        <v>26</v>
      </c>
      <c r="L435" t="s">
        <v>59</v>
      </c>
      <c r="M435" t="s">
        <v>95</v>
      </c>
      <c r="N435" t="s">
        <v>35</v>
      </c>
      <c r="O435" s="3"/>
      <c r="Q435" t="s">
        <v>28</v>
      </c>
      <c r="T435" t="s">
        <v>1360</v>
      </c>
      <c r="U435" t="s">
        <v>1356</v>
      </c>
      <c r="V435" t="str">
        <f>_xlfn.XLOOKUP(U435, Mapping!$A$2:$A$48, Mapping!$B$2:$B$48, "Unknown County")</f>
        <v>Central</v>
      </c>
    </row>
    <row r="436" spans="1:22" x14ac:dyDescent="0.3">
      <c r="A436" t="s">
        <v>720</v>
      </c>
      <c r="B436" t="s">
        <v>63</v>
      </c>
      <c r="C436" s="3">
        <v>43450</v>
      </c>
      <c r="D436" t="s">
        <v>22</v>
      </c>
      <c r="E436" t="s">
        <v>28</v>
      </c>
      <c r="F436" s="7">
        <v>70</v>
      </c>
      <c r="H436" t="s">
        <v>28</v>
      </c>
      <c r="I436" t="s">
        <v>82</v>
      </c>
      <c r="J436" t="s">
        <v>28</v>
      </c>
      <c r="K436" t="s">
        <v>26</v>
      </c>
      <c r="L436" t="s">
        <v>165</v>
      </c>
      <c r="M436" t="s">
        <v>28</v>
      </c>
      <c r="N436" t="s">
        <v>35</v>
      </c>
      <c r="O436" s="3"/>
      <c r="Q436" t="s">
        <v>28</v>
      </c>
      <c r="T436" t="s">
        <v>1361</v>
      </c>
      <c r="U436" t="s">
        <v>1356</v>
      </c>
      <c r="V436" t="str">
        <f>_xlfn.XLOOKUP(U436, Mapping!$A$2:$A$48, Mapping!$B$2:$B$48, "Unknown County")</f>
        <v>Central</v>
      </c>
    </row>
    <row r="437" spans="1:22" x14ac:dyDescent="0.3">
      <c r="A437" t="s">
        <v>733</v>
      </c>
      <c r="B437" t="s">
        <v>21</v>
      </c>
      <c r="C437" s="3">
        <v>43706</v>
      </c>
      <c r="D437" t="s">
        <v>22</v>
      </c>
      <c r="E437" t="s">
        <v>1362</v>
      </c>
      <c r="F437" s="7"/>
      <c r="H437" t="s">
        <v>1363</v>
      </c>
      <c r="I437" t="s">
        <v>39</v>
      </c>
      <c r="J437" t="s">
        <v>25</v>
      </c>
      <c r="K437" t="s">
        <v>26</v>
      </c>
      <c r="L437" t="s">
        <v>33</v>
      </c>
      <c r="M437" t="s">
        <v>34</v>
      </c>
      <c r="N437" t="s">
        <v>140</v>
      </c>
      <c r="O437" s="3"/>
      <c r="Q437" t="s">
        <v>28</v>
      </c>
      <c r="T437" t="s">
        <v>1364</v>
      </c>
      <c r="U437" t="s">
        <v>1356</v>
      </c>
      <c r="V437" t="str">
        <f>_xlfn.XLOOKUP(U437, Mapping!$A$2:$A$48, Mapping!$B$2:$B$48, "Unknown County")</f>
        <v>Central</v>
      </c>
    </row>
    <row r="438" spans="1:22" x14ac:dyDescent="0.3">
      <c r="A438" t="s">
        <v>1358</v>
      </c>
      <c r="B438" t="s">
        <v>63</v>
      </c>
      <c r="C438" s="3">
        <v>43735</v>
      </c>
      <c r="D438" t="s">
        <v>22</v>
      </c>
      <c r="E438" t="s">
        <v>1365</v>
      </c>
      <c r="F438" s="7"/>
      <c r="H438" t="s">
        <v>28</v>
      </c>
      <c r="I438" t="s">
        <v>82</v>
      </c>
      <c r="J438" t="s">
        <v>28</v>
      </c>
      <c r="K438" t="s">
        <v>26</v>
      </c>
      <c r="L438" t="s">
        <v>59</v>
      </c>
      <c r="M438" t="s">
        <v>60</v>
      </c>
      <c r="N438" t="s">
        <v>35</v>
      </c>
      <c r="O438" s="3"/>
      <c r="Q438" t="s">
        <v>28</v>
      </c>
      <c r="T438" t="s">
        <v>1366</v>
      </c>
      <c r="U438" t="s">
        <v>1356</v>
      </c>
      <c r="V438" t="str">
        <f>_xlfn.XLOOKUP(U438, Mapping!$A$2:$A$48, Mapping!$B$2:$B$48, "Unknown County")</f>
        <v>Central</v>
      </c>
    </row>
    <row r="439" spans="1:22" x14ac:dyDescent="0.3">
      <c r="A439" t="s">
        <v>733</v>
      </c>
      <c r="B439" t="s">
        <v>21</v>
      </c>
      <c r="C439" s="3">
        <v>43852</v>
      </c>
      <c r="D439" t="s">
        <v>22</v>
      </c>
      <c r="E439" t="s">
        <v>1367</v>
      </c>
      <c r="F439" s="7">
        <v>21</v>
      </c>
      <c r="H439" t="s">
        <v>1368</v>
      </c>
      <c r="I439" t="s">
        <v>1585</v>
      </c>
      <c r="J439" t="s">
        <v>25</v>
      </c>
      <c r="K439" t="s">
        <v>26</v>
      </c>
      <c r="L439" t="s">
        <v>59</v>
      </c>
      <c r="M439" t="s">
        <v>225</v>
      </c>
      <c r="N439" t="s">
        <v>35</v>
      </c>
      <c r="O439" s="3"/>
      <c r="Q439" t="s">
        <v>28</v>
      </c>
      <c r="T439" t="s">
        <v>1369</v>
      </c>
      <c r="U439" t="s">
        <v>1356</v>
      </c>
      <c r="V439" t="str">
        <f>_xlfn.XLOOKUP(U439, Mapping!$A$2:$A$48, Mapping!$B$2:$B$48, "Unknown County")</f>
        <v>Central</v>
      </c>
    </row>
    <row r="440" spans="1:22" x14ac:dyDescent="0.3">
      <c r="A440" t="s">
        <v>733</v>
      </c>
      <c r="B440" t="s">
        <v>21</v>
      </c>
      <c r="C440" s="3">
        <v>43948</v>
      </c>
      <c r="D440" t="s">
        <v>22</v>
      </c>
      <c r="E440" t="s">
        <v>1370</v>
      </c>
      <c r="F440" s="7">
        <v>30</v>
      </c>
      <c r="H440" t="s">
        <v>28</v>
      </c>
      <c r="I440" t="s">
        <v>70</v>
      </c>
      <c r="J440" t="s">
        <v>25</v>
      </c>
      <c r="K440" t="s">
        <v>26</v>
      </c>
      <c r="L440" t="s">
        <v>59</v>
      </c>
      <c r="M440" t="s">
        <v>34</v>
      </c>
      <c r="N440" t="s">
        <v>35</v>
      </c>
      <c r="O440" s="3"/>
      <c r="Q440" t="s">
        <v>28</v>
      </c>
      <c r="T440" t="s">
        <v>1371</v>
      </c>
      <c r="U440" t="s">
        <v>1356</v>
      </c>
      <c r="V440" t="str">
        <f>_xlfn.XLOOKUP(U440, Mapping!$A$2:$A$48, Mapping!$B$2:$B$48, "Unknown County")</f>
        <v>Central</v>
      </c>
    </row>
    <row r="441" spans="1:22" x14ac:dyDescent="0.3">
      <c r="A441" t="s">
        <v>28</v>
      </c>
      <c r="B441" t="s">
        <v>63</v>
      </c>
      <c r="C441" s="3">
        <v>44041</v>
      </c>
      <c r="D441" t="s">
        <v>22</v>
      </c>
      <c r="E441" t="s">
        <v>1372</v>
      </c>
      <c r="F441" s="7">
        <v>50</v>
      </c>
      <c r="H441" t="s">
        <v>1373</v>
      </c>
      <c r="I441" t="s">
        <v>39</v>
      </c>
      <c r="J441" t="s">
        <v>25</v>
      </c>
      <c r="K441" t="s">
        <v>26</v>
      </c>
      <c r="L441" t="s">
        <v>40</v>
      </c>
      <c r="M441" t="s">
        <v>34</v>
      </c>
      <c r="N441" t="s">
        <v>35</v>
      </c>
      <c r="O441" s="3"/>
      <c r="Q441" t="s">
        <v>28</v>
      </c>
      <c r="T441" t="s">
        <v>1374</v>
      </c>
      <c r="U441" t="s">
        <v>1356</v>
      </c>
      <c r="V441" t="str">
        <f>_xlfn.XLOOKUP(U441, Mapping!$A$2:$A$48, Mapping!$B$2:$B$48, "Unknown County")</f>
        <v>Central</v>
      </c>
    </row>
    <row r="442" spans="1:22" x14ac:dyDescent="0.3">
      <c r="A442" t="s">
        <v>1375</v>
      </c>
      <c r="B442" t="s">
        <v>143</v>
      </c>
      <c r="C442" s="3">
        <v>42967</v>
      </c>
      <c r="D442" t="s">
        <v>22</v>
      </c>
      <c r="E442" t="s">
        <v>1376</v>
      </c>
      <c r="F442" s="7">
        <v>21</v>
      </c>
      <c r="H442" t="s">
        <v>1377</v>
      </c>
      <c r="I442" t="s">
        <v>70</v>
      </c>
      <c r="J442" t="s">
        <v>25</v>
      </c>
      <c r="K442" t="s">
        <v>84</v>
      </c>
      <c r="L442" t="s">
        <v>46</v>
      </c>
      <c r="M442" t="s">
        <v>28</v>
      </c>
      <c r="N442" t="s">
        <v>174</v>
      </c>
      <c r="O442" s="3"/>
      <c r="Q442" t="s">
        <v>28</v>
      </c>
      <c r="T442" t="s">
        <v>1378</v>
      </c>
      <c r="U442" t="s">
        <v>1379</v>
      </c>
      <c r="V442" t="str">
        <f>_xlfn.XLOOKUP(U442, Mapping!$A$2:$A$48, Mapping!$B$2:$B$48, "Unknown County")</f>
        <v>Central</v>
      </c>
    </row>
    <row r="443" spans="1:22" x14ac:dyDescent="0.3">
      <c r="A443" t="s">
        <v>1375</v>
      </c>
      <c r="B443" t="s">
        <v>143</v>
      </c>
      <c r="C443" s="3">
        <v>42779</v>
      </c>
      <c r="D443" t="s">
        <v>22</v>
      </c>
      <c r="E443" t="s">
        <v>1380</v>
      </c>
      <c r="F443" s="7">
        <v>33</v>
      </c>
      <c r="H443" t="s">
        <v>28</v>
      </c>
      <c r="I443" t="s">
        <v>70</v>
      </c>
      <c r="J443" t="s">
        <v>45</v>
      </c>
      <c r="K443" t="s">
        <v>84</v>
      </c>
      <c r="L443" t="s">
        <v>40</v>
      </c>
      <c r="M443" t="s">
        <v>373</v>
      </c>
      <c r="N443" t="s">
        <v>35</v>
      </c>
      <c r="O443" s="3"/>
      <c r="Q443" t="s">
        <v>28</v>
      </c>
      <c r="T443" t="s">
        <v>1381</v>
      </c>
      <c r="U443" t="s">
        <v>1379</v>
      </c>
      <c r="V443" t="str">
        <f>_xlfn.XLOOKUP(U443, Mapping!$A$2:$A$48, Mapping!$B$2:$B$48, "Unknown County")</f>
        <v>Central</v>
      </c>
    </row>
    <row r="444" spans="1:22" x14ac:dyDescent="0.3">
      <c r="A444" t="s">
        <v>1382</v>
      </c>
      <c r="B444" t="s">
        <v>256</v>
      </c>
      <c r="C444" s="3">
        <v>42980</v>
      </c>
      <c r="D444" t="s">
        <v>22</v>
      </c>
      <c r="E444" t="s">
        <v>28</v>
      </c>
      <c r="F444" s="7"/>
      <c r="H444" t="s">
        <v>1383</v>
      </c>
      <c r="I444" t="s">
        <v>39</v>
      </c>
      <c r="J444" t="s">
        <v>25</v>
      </c>
      <c r="K444" t="s">
        <v>26</v>
      </c>
      <c r="L444" t="s">
        <v>258</v>
      </c>
      <c r="M444" t="s">
        <v>34</v>
      </c>
      <c r="N444" t="s">
        <v>1384</v>
      </c>
      <c r="O444" s="3"/>
      <c r="P444" s="3">
        <v>42950</v>
      </c>
      <c r="Q444" t="s">
        <v>41</v>
      </c>
      <c r="T444" t="s">
        <v>1385</v>
      </c>
      <c r="U444" t="s">
        <v>1379</v>
      </c>
      <c r="V444" t="str">
        <f>_xlfn.XLOOKUP(U444, Mapping!$A$2:$A$48, Mapping!$B$2:$B$48, "Unknown County")</f>
        <v>Central</v>
      </c>
    </row>
    <row r="445" spans="1:22" x14ac:dyDescent="0.3">
      <c r="A445" t="s">
        <v>1375</v>
      </c>
      <c r="B445" t="s">
        <v>63</v>
      </c>
      <c r="C445" s="3">
        <v>43131</v>
      </c>
      <c r="D445" t="s">
        <v>22</v>
      </c>
      <c r="E445" t="s">
        <v>1386</v>
      </c>
      <c r="F445" s="7">
        <v>21</v>
      </c>
      <c r="H445" t="s">
        <v>1387</v>
      </c>
      <c r="I445" t="s">
        <v>39</v>
      </c>
      <c r="J445" t="s">
        <v>25</v>
      </c>
      <c r="K445" t="s">
        <v>26</v>
      </c>
      <c r="L445" t="s">
        <v>72</v>
      </c>
      <c r="M445" t="s">
        <v>34</v>
      </c>
      <c r="N445" t="s">
        <v>35</v>
      </c>
      <c r="O445" s="3"/>
      <c r="Q445" t="s">
        <v>28</v>
      </c>
      <c r="T445" t="s">
        <v>1388</v>
      </c>
      <c r="U445" t="s">
        <v>1379</v>
      </c>
      <c r="V445" t="str">
        <f>_xlfn.XLOOKUP(U445, Mapping!$A$2:$A$48, Mapping!$B$2:$B$48, "Unknown County")</f>
        <v>Central</v>
      </c>
    </row>
    <row r="446" spans="1:22" x14ac:dyDescent="0.3">
      <c r="A446" t="s">
        <v>377</v>
      </c>
      <c r="B446" t="s">
        <v>279</v>
      </c>
      <c r="C446" s="3">
        <v>43304</v>
      </c>
      <c r="D446" t="s">
        <v>22</v>
      </c>
      <c r="E446" t="s">
        <v>28</v>
      </c>
      <c r="F446" s="7"/>
      <c r="H446" t="s">
        <v>1389</v>
      </c>
      <c r="I446" t="s">
        <v>39</v>
      </c>
      <c r="J446" t="s">
        <v>25</v>
      </c>
      <c r="K446" t="s">
        <v>26</v>
      </c>
      <c r="L446" t="s">
        <v>33</v>
      </c>
      <c r="M446" t="s">
        <v>34</v>
      </c>
      <c r="N446" t="s">
        <v>35</v>
      </c>
      <c r="O446" s="3"/>
      <c r="Q446" t="s">
        <v>28</v>
      </c>
      <c r="T446" t="s">
        <v>1390</v>
      </c>
      <c r="U446" t="s">
        <v>1379</v>
      </c>
      <c r="V446" t="str">
        <f>_xlfn.XLOOKUP(U446, Mapping!$A$2:$A$48, Mapping!$B$2:$B$48, "Unknown County")</f>
        <v>Central</v>
      </c>
    </row>
    <row r="447" spans="1:22" x14ac:dyDescent="0.3">
      <c r="A447" t="s">
        <v>1391</v>
      </c>
      <c r="B447" t="s">
        <v>58</v>
      </c>
      <c r="C447" s="3">
        <v>43305</v>
      </c>
      <c r="D447" t="s">
        <v>22</v>
      </c>
      <c r="E447" t="s">
        <v>1392</v>
      </c>
      <c r="F447" s="7"/>
      <c r="H447" t="s">
        <v>1393</v>
      </c>
      <c r="I447" t="s">
        <v>39</v>
      </c>
      <c r="J447" t="s">
        <v>25</v>
      </c>
      <c r="K447" t="s">
        <v>26</v>
      </c>
      <c r="L447" t="s">
        <v>59</v>
      </c>
      <c r="M447" t="s">
        <v>34</v>
      </c>
      <c r="N447" t="s">
        <v>35</v>
      </c>
      <c r="O447" s="3"/>
      <c r="Q447" t="s">
        <v>28</v>
      </c>
      <c r="T447" t="s">
        <v>1394</v>
      </c>
      <c r="U447" t="s">
        <v>1379</v>
      </c>
      <c r="V447" t="str">
        <f>_xlfn.XLOOKUP(U447, Mapping!$A$2:$A$48, Mapping!$B$2:$B$48, "Unknown County")</f>
        <v>Central</v>
      </c>
    </row>
    <row r="448" spans="1:22" x14ac:dyDescent="0.3">
      <c r="A448" t="s">
        <v>1375</v>
      </c>
      <c r="B448" t="s">
        <v>63</v>
      </c>
      <c r="C448" s="3">
        <v>43398</v>
      </c>
      <c r="D448" t="s">
        <v>22</v>
      </c>
      <c r="E448" t="s">
        <v>1395</v>
      </c>
      <c r="F448" s="7"/>
      <c r="H448" t="s">
        <v>28</v>
      </c>
      <c r="I448" t="s">
        <v>186</v>
      </c>
      <c r="J448" t="s">
        <v>83</v>
      </c>
      <c r="K448" t="s">
        <v>28</v>
      </c>
      <c r="L448" t="s">
        <v>59</v>
      </c>
      <c r="M448" t="s">
        <v>28</v>
      </c>
      <c r="N448" t="s">
        <v>35</v>
      </c>
      <c r="O448" s="3"/>
      <c r="Q448" t="s">
        <v>28</v>
      </c>
      <c r="T448" t="s">
        <v>1396</v>
      </c>
      <c r="U448" t="s">
        <v>1379</v>
      </c>
      <c r="V448" t="str">
        <f>_xlfn.XLOOKUP(U448, Mapping!$A$2:$A$48, Mapping!$B$2:$B$48, "Unknown County")</f>
        <v>Central</v>
      </c>
    </row>
    <row r="449" spans="1:22" x14ac:dyDescent="0.3">
      <c r="A449" t="s">
        <v>1375</v>
      </c>
      <c r="B449" t="s">
        <v>63</v>
      </c>
      <c r="C449" s="3">
        <v>43570</v>
      </c>
      <c r="D449" t="s">
        <v>22</v>
      </c>
      <c r="E449" t="s">
        <v>28</v>
      </c>
      <c r="F449" s="7">
        <v>24</v>
      </c>
      <c r="H449" t="s">
        <v>28</v>
      </c>
      <c r="I449" t="s">
        <v>1584</v>
      </c>
      <c r="J449" t="s">
        <v>25</v>
      </c>
      <c r="K449" t="s">
        <v>26</v>
      </c>
      <c r="L449" t="s">
        <v>59</v>
      </c>
      <c r="M449" t="s">
        <v>34</v>
      </c>
      <c r="N449" t="s">
        <v>35</v>
      </c>
      <c r="O449" s="3"/>
      <c r="Q449" t="s">
        <v>28</v>
      </c>
      <c r="T449" t="s">
        <v>1397</v>
      </c>
      <c r="U449" t="s">
        <v>1379</v>
      </c>
      <c r="V449" t="str">
        <f>_xlfn.XLOOKUP(U449, Mapping!$A$2:$A$48, Mapping!$B$2:$B$48, "Unknown County")</f>
        <v>Central</v>
      </c>
    </row>
    <row r="450" spans="1:22" x14ac:dyDescent="0.3">
      <c r="A450" t="s">
        <v>28</v>
      </c>
      <c r="B450" t="s">
        <v>47</v>
      </c>
      <c r="D450" t="s">
        <v>22</v>
      </c>
      <c r="E450" t="s">
        <v>1398</v>
      </c>
      <c r="F450" s="7">
        <v>24</v>
      </c>
      <c r="H450" t="s">
        <v>28</v>
      </c>
      <c r="I450" t="s">
        <v>39</v>
      </c>
      <c r="J450" t="s">
        <v>28</v>
      </c>
      <c r="K450" t="s">
        <v>28</v>
      </c>
      <c r="L450" t="s">
        <v>46</v>
      </c>
      <c r="M450" t="s">
        <v>28</v>
      </c>
      <c r="N450" t="s">
        <v>28</v>
      </c>
      <c r="O450" s="3"/>
      <c r="Q450" t="s">
        <v>28</v>
      </c>
      <c r="T450" t="s">
        <v>1399</v>
      </c>
      <c r="U450" t="s">
        <v>1379</v>
      </c>
      <c r="V450" t="str">
        <f>_xlfn.XLOOKUP(U450, Mapping!$A$2:$A$48, Mapping!$B$2:$B$48, "Unknown County")</f>
        <v>Central</v>
      </c>
    </row>
    <row r="451" spans="1:22" x14ac:dyDescent="0.3">
      <c r="A451" t="s">
        <v>1400</v>
      </c>
      <c r="B451" t="s">
        <v>63</v>
      </c>
      <c r="C451" s="3">
        <v>43811</v>
      </c>
      <c r="D451" t="s">
        <v>22</v>
      </c>
      <c r="E451" t="s">
        <v>1401</v>
      </c>
      <c r="F451" s="7"/>
      <c r="H451" t="s">
        <v>1402</v>
      </c>
      <c r="I451" t="s">
        <v>39</v>
      </c>
      <c r="J451" t="s">
        <v>25</v>
      </c>
      <c r="K451" t="s">
        <v>26</v>
      </c>
      <c r="L451" t="s">
        <v>59</v>
      </c>
      <c r="M451" t="s">
        <v>34</v>
      </c>
      <c r="N451" t="s">
        <v>35</v>
      </c>
      <c r="O451" s="3"/>
      <c r="Q451" t="s">
        <v>28</v>
      </c>
      <c r="T451" t="s">
        <v>1381</v>
      </c>
      <c r="U451" t="s">
        <v>1379</v>
      </c>
      <c r="V451" t="str">
        <f>_xlfn.XLOOKUP(U451, Mapping!$A$2:$A$48, Mapping!$B$2:$B$48, "Unknown County")</f>
        <v>Central</v>
      </c>
    </row>
    <row r="452" spans="1:22" x14ac:dyDescent="0.3">
      <c r="A452" t="s">
        <v>28</v>
      </c>
      <c r="B452" t="s">
        <v>63</v>
      </c>
      <c r="C452" s="3">
        <v>43981</v>
      </c>
      <c r="D452" t="s">
        <v>22</v>
      </c>
      <c r="E452" t="s">
        <v>1403</v>
      </c>
      <c r="F452" s="7"/>
      <c r="G452" s="3">
        <v>43976</v>
      </c>
      <c r="H452" t="s">
        <v>1404</v>
      </c>
      <c r="I452" t="s">
        <v>39</v>
      </c>
      <c r="J452" t="s">
        <v>25</v>
      </c>
      <c r="K452" t="s">
        <v>84</v>
      </c>
      <c r="L452" t="s">
        <v>46</v>
      </c>
      <c r="M452" t="s">
        <v>28</v>
      </c>
      <c r="N452" t="s">
        <v>35</v>
      </c>
      <c r="O452" s="3"/>
      <c r="Q452" t="s">
        <v>28</v>
      </c>
      <c r="T452" t="s">
        <v>1405</v>
      </c>
      <c r="U452" t="s">
        <v>1379</v>
      </c>
      <c r="V452" t="str">
        <f>_xlfn.XLOOKUP(U452, Mapping!$A$2:$A$48, Mapping!$B$2:$B$48, "Unknown County")</f>
        <v>Central</v>
      </c>
    </row>
    <row r="453" spans="1:22" x14ac:dyDescent="0.3">
      <c r="A453" t="s">
        <v>1400</v>
      </c>
      <c r="B453" t="s">
        <v>28</v>
      </c>
      <c r="C453" s="3">
        <v>44707</v>
      </c>
      <c r="D453" t="s">
        <v>22</v>
      </c>
      <c r="E453" t="s">
        <v>1406</v>
      </c>
      <c r="F453" s="7"/>
      <c r="G453" s="3">
        <v>44699</v>
      </c>
      <c r="H453" t="s">
        <v>1407</v>
      </c>
      <c r="I453" t="s">
        <v>39</v>
      </c>
      <c r="J453" t="s">
        <v>28</v>
      </c>
      <c r="K453" t="s">
        <v>71</v>
      </c>
      <c r="L453" t="s">
        <v>59</v>
      </c>
      <c r="M453" t="s">
        <v>28</v>
      </c>
      <c r="N453" t="s">
        <v>28</v>
      </c>
      <c r="O453" s="3"/>
      <c r="Q453" t="s">
        <v>28</v>
      </c>
      <c r="T453" t="s">
        <v>1408</v>
      </c>
      <c r="U453" t="s">
        <v>1379</v>
      </c>
      <c r="V453" t="str">
        <f>_xlfn.XLOOKUP(U453, Mapping!$A$2:$A$48, Mapping!$B$2:$B$48, "Unknown County")</f>
        <v>Central</v>
      </c>
    </row>
    <row r="454" spans="1:22" x14ac:dyDescent="0.3">
      <c r="A454" t="s">
        <v>1409</v>
      </c>
      <c r="B454" t="s">
        <v>339</v>
      </c>
      <c r="C454" s="3">
        <v>45075</v>
      </c>
      <c r="D454" t="s">
        <v>22</v>
      </c>
      <c r="E454" t="s">
        <v>1410</v>
      </c>
      <c r="F454" s="7">
        <v>44</v>
      </c>
      <c r="G454" s="3">
        <v>45075</v>
      </c>
      <c r="H454" t="s">
        <v>1411</v>
      </c>
      <c r="I454" t="s">
        <v>39</v>
      </c>
      <c r="J454" t="s">
        <v>25</v>
      </c>
      <c r="K454" t="s">
        <v>71</v>
      </c>
      <c r="L454" t="s">
        <v>40</v>
      </c>
      <c r="M454" t="s">
        <v>28</v>
      </c>
      <c r="N454" t="s">
        <v>396</v>
      </c>
      <c r="O454" s="3"/>
      <c r="Q454" t="s">
        <v>28</v>
      </c>
      <c r="T454" t="s">
        <v>1412</v>
      </c>
      <c r="U454" t="s">
        <v>1379</v>
      </c>
      <c r="V454" t="str">
        <f>_xlfn.XLOOKUP(U454, Mapping!$A$2:$A$48, Mapping!$B$2:$B$48, "Unknown County")</f>
        <v>Central</v>
      </c>
    </row>
    <row r="455" spans="1:22" x14ac:dyDescent="0.3">
      <c r="A455" t="s">
        <v>1413</v>
      </c>
      <c r="B455" t="s">
        <v>63</v>
      </c>
      <c r="C455" s="3">
        <v>45174</v>
      </c>
      <c r="D455" t="s">
        <v>22</v>
      </c>
      <c r="E455" t="s">
        <v>1414</v>
      </c>
      <c r="F455" s="7">
        <v>19</v>
      </c>
      <c r="H455" t="s">
        <v>508</v>
      </c>
      <c r="I455" t="s">
        <v>82</v>
      </c>
      <c r="J455" t="s">
        <v>28</v>
      </c>
      <c r="K455" t="s">
        <v>84</v>
      </c>
      <c r="L455" t="s">
        <v>46</v>
      </c>
      <c r="M455" t="s">
        <v>28</v>
      </c>
      <c r="N455" t="s">
        <v>35</v>
      </c>
      <c r="O455" s="3"/>
      <c r="Q455" t="s">
        <v>28</v>
      </c>
      <c r="T455" t="s">
        <v>1415</v>
      </c>
      <c r="U455" t="s">
        <v>1379</v>
      </c>
      <c r="V455" t="str">
        <f>_xlfn.XLOOKUP(U455, Mapping!$A$2:$A$48, Mapping!$B$2:$B$48, "Unknown County")</f>
        <v>Central</v>
      </c>
    </row>
    <row r="456" spans="1:22" x14ac:dyDescent="0.3">
      <c r="A456" t="s">
        <v>1416</v>
      </c>
      <c r="B456" t="s">
        <v>58</v>
      </c>
      <c r="C456" s="3">
        <v>42719</v>
      </c>
      <c r="D456" t="s">
        <v>22</v>
      </c>
      <c r="E456" t="s">
        <v>1417</v>
      </c>
      <c r="F456" s="7"/>
      <c r="H456" t="s">
        <v>1418</v>
      </c>
      <c r="I456" t="s">
        <v>70</v>
      </c>
      <c r="J456" t="s">
        <v>25</v>
      </c>
      <c r="K456" t="s">
        <v>26</v>
      </c>
      <c r="L456" t="s">
        <v>33</v>
      </c>
      <c r="M456" t="s">
        <v>34</v>
      </c>
      <c r="N456" t="s">
        <v>35</v>
      </c>
      <c r="O456" s="3"/>
      <c r="Q456" t="s">
        <v>28</v>
      </c>
      <c r="T456" t="s">
        <v>1419</v>
      </c>
      <c r="U456" t="s">
        <v>1420</v>
      </c>
      <c r="V456" t="str">
        <f>_xlfn.XLOOKUP(U456, Mapping!$A$2:$A$48, Mapping!$B$2:$B$48, "Unknown County")</f>
        <v>Nyanza</v>
      </c>
    </row>
    <row r="457" spans="1:22" x14ac:dyDescent="0.3">
      <c r="A457" t="s">
        <v>1421</v>
      </c>
      <c r="B457" t="s">
        <v>21</v>
      </c>
      <c r="C457" s="3">
        <v>43078</v>
      </c>
      <c r="D457" t="s">
        <v>22</v>
      </c>
      <c r="E457" t="s">
        <v>1422</v>
      </c>
      <c r="F457" s="7">
        <v>23</v>
      </c>
      <c r="H457" t="s">
        <v>1423</v>
      </c>
      <c r="I457" t="s">
        <v>70</v>
      </c>
      <c r="J457" t="s">
        <v>25</v>
      </c>
      <c r="K457" t="s">
        <v>26</v>
      </c>
      <c r="L457" t="s">
        <v>1424</v>
      </c>
      <c r="M457" t="s">
        <v>34</v>
      </c>
      <c r="N457" t="s">
        <v>174</v>
      </c>
      <c r="O457" s="3"/>
      <c r="Q457" t="s">
        <v>28</v>
      </c>
      <c r="T457" t="s">
        <v>1425</v>
      </c>
      <c r="U457" t="s">
        <v>1420</v>
      </c>
      <c r="V457" t="str">
        <f>_xlfn.XLOOKUP(U457, Mapping!$A$2:$A$48, Mapping!$B$2:$B$48, "Unknown County")</f>
        <v>Nyanza</v>
      </c>
    </row>
    <row r="458" spans="1:22" x14ac:dyDescent="0.3">
      <c r="A458" t="s">
        <v>1426</v>
      </c>
      <c r="B458" t="s">
        <v>63</v>
      </c>
      <c r="C458" s="3">
        <v>43095</v>
      </c>
      <c r="D458" t="s">
        <v>22</v>
      </c>
      <c r="E458" t="s">
        <v>1427</v>
      </c>
      <c r="F458" s="7">
        <v>25</v>
      </c>
      <c r="H458" t="s">
        <v>28</v>
      </c>
      <c r="I458" t="s">
        <v>82</v>
      </c>
      <c r="J458" t="s">
        <v>28</v>
      </c>
      <c r="K458" t="s">
        <v>84</v>
      </c>
      <c r="L458" t="s">
        <v>173</v>
      </c>
      <c r="M458" t="s">
        <v>28</v>
      </c>
      <c r="N458" t="s">
        <v>35</v>
      </c>
      <c r="O458" s="3"/>
      <c r="Q458" t="s">
        <v>28</v>
      </c>
      <c r="T458" t="s">
        <v>1428</v>
      </c>
      <c r="U458" t="s">
        <v>1420</v>
      </c>
      <c r="V458" t="str">
        <f>_xlfn.XLOOKUP(U458, Mapping!$A$2:$A$48, Mapping!$B$2:$B$48, "Unknown County")</f>
        <v>Nyanza</v>
      </c>
    </row>
    <row r="459" spans="1:22" x14ac:dyDescent="0.3">
      <c r="A459" t="s">
        <v>28</v>
      </c>
      <c r="B459" t="s">
        <v>115</v>
      </c>
      <c r="D459" t="s">
        <v>22</v>
      </c>
      <c r="E459" t="s">
        <v>1429</v>
      </c>
      <c r="F459" s="7">
        <v>30</v>
      </c>
      <c r="H459" t="s">
        <v>28</v>
      </c>
      <c r="I459" t="s">
        <v>39</v>
      </c>
      <c r="J459" t="s">
        <v>28</v>
      </c>
      <c r="K459" t="s">
        <v>28</v>
      </c>
      <c r="L459" t="s">
        <v>46</v>
      </c>
      <c r="M459" t="s">
        <v>28</v>
      </c>
      <c r="N459" t="s">
        <v>28</v>
      </c>
      <c r="O459" s="3"/>
      <c r="Q459" t="s">
        <v>28</v>
      </c>
      <c r="T459" t="s">
        <v>1430</v>
      </c>
      <c r="U459" t="s">
        <v>1420</v>
      </c>
      <c r="V459" t="str">
        <f>_xlfn.XLOOKUP(U459, Mapping!$A$2:$A$48, Mapping!$B$2:$B$48, "Unknown County")</f>
        <v>Nyanza</v>
      </c>
    </row>
    <row r="460" spans="1:22" x14ac:dyDescent="0.3">
      <c r="A460" t="s">
        <v>636</v>
      </c>
      <c r="B460" t="s">
        <v>135</v>
      </c>
      <c r="C460" s="3">
        <v>43834</v>
      </c>
      <c r="D460" t="s">
        <v>22</v>
      </c>
      <c r="E460" t="s">
        <v>1431</v>
      </c>
      <c r="F460" s="7">
        <v>36</v>
      </c>
      <c r="H460" t="s">
        <v>28</v>
      </c>
      <c r="I460" t="s">
        <v>39</v>
      </c>
      <c r="J460" t="s">
        <v>25</v>
      </c>
      <c r="K460" t="s">
        <v>71</v>
      </c>
      <c r="L460" t="s">
        <v>33</v>
      </c>
      <c r="M460" t="s">
        <v>1432</v>
      </c>
      <c r="N460" t="s">
        <v>28</v>
      </c>
      <c r="O460" s="3"/>
      <c r="Q460" t="s">
        <v>28</v>
      </c>
      <c r="T460" t="s">
        <v>1433</v>
      </c>
      <c r="U460" t="s">
        <v>1420</v>
      </c>
      <c r="V460" t="str">
        <f>_xlfn.XLOOKUP(U460, Mapping!$A$2:$A$48, Mapping!$B$2:$B$48, "Unknown County")</f>
        <v>Nyanza</v>
      </c>
    </row>
    <row r="461" spans="1:22" x14ac:dyDescent="0.3">
      <c r="A461" t="s">
        <v>636</v>
      </c>
      <c r="B461" t="s">
        <v>135</v>
      </c>
      <c r="C461" s="3">
        <v>43891</v>
      </c>
      <c r="D461" t="s">
        <v>22</v>
      </c>
      <c r="E461" t="s">
        <v>1434</v>
      </c>
      <c r="F461" s="7">
        <v>15</v>
      </c>
      <c r="H461" t="s">
        <v>28</v>
      </c>
      <c r="I461" t="s">
        <v>1585</v>
      </c>
      <c r="J461" t="s">
        <v>25</v>
      </c>
      <c r="K461" t="s">
        <v>71</v>
      </c>
      <c r="L461" t="s">
        <v>59</v>
      </c>
      <c r="M461" t="s">
        <v>1435</v>
      </c>
      <c r="N461" t="s">
        <v>28</v>
      </c>
      <c r="O461" s="3"/>
      <c r="Q461" t="s">
        <v>28</v>
      </c>
      <c r="T461" t="s">
        <v>1436</v>
      </c>
      <c r="U461" t="s">
        <v>1420</v>
      </c>
      <c r="V461" t="str">
        <f>_xlfn.XLOOKUP(U461, Mapping!$A$2:$A$48, Mapping!$B$2:$B$48, "Unknown County")</f>
        <v>Nyanza</v>
      </c>
    </row>
    <row r="462" spans="1:22" x14ac:dyDescent="0.3">
      <c r="A462" t="s">
        <v>1437</v>
      </c>
      <c r="B462" t="s">
        <v>31</v>
      </c>
      <c r="C462" s="3">
        <v>44434</v>
      </c>
      <c r="D462" t="s">
        <v>22</v>
      </c>
      <c r="E462" t="s">
        <v>1438</v>
      </c>
      <c r="F462" s="7">
        <v>20</v>
      </c>
      <c r="H462" t="s">
        <v>1439</v>
      </c>
      <c r="I462" t="s">
        <v>70</v>
      </c>
      <c r="J462" t="s">
        <v>25</v>
      </c>
      <c r="K462" t="s">
        <v>26</v>
      </c>
      <c r="L462" t="s">
        <v>165</v>
      </c>
      <c r="M462" t="s">
        <v>60</v>
      </c>
      <c r="N462" t="s">
        <v>35</v>
      </c>
      <c r="O462" s="3"/>
      <c r="Q462" t="s">
        <v>28</v>
      </c>
      <c r="T462" t="s">
        <v>1440</v>
      </c>
      <c r="U462" t="s">
        <v>1420</v>
      </c>
      <c r="V462" t="str">
        <f>_xlfn.XLOOKUP(U462, Mapping!$A$2:$A$48, Mapping!$B$2:$B$48, "Unknown County")</f>
        <v>Nyanza</v>
      </c>
    </row>
    <row r="463" spans="1:22" x14ac:dyDescent="0.3">
      <c r="A463" t="s">
        <v>126</v>
      </c>
      <c r="B463" t="s">
        <v>21</v>
      </c>
      <c r="C463" s="3">
        <v>44935</v>
      </c>
      <c r="D463" t="s">
        <v>22</v>
      </c>
      <c r="E463" t="s">
        <v>1441</v>
      </c>
      <c r="F463" s="7"/>
      <c r="H463" t="s">
        <v>1442</v>
      </c>
      <c r="I463" t="s">
        <v>39</v>
      </c>
      <c r="J463" t="s">
        <v>25</v>
      </c>
      <c r="K463" t="s">
        <v>26</v>
      </c>
      <c r="L463" t="s">
        <v>40</v>
      </c>
      <c r="M463" t="s">
        <v>542</v>
      </c>
      <c r="N463" t="s">
        <v>28</v>
      </c>
      <c r="O463" s="3"/>
      <c r="P463" s="3">
        <v>44935</v>
      </c>
      <c r="Q463" t="s">
        <v>29</v>
      </c>
      <c r="R463" s="7">
        <v>3</v>
      </c>
      <c r="S463" s="7">
        <v>123</v>
      </c>
      <c r="T463" t="s">
        <v>1443</v>
      </c>
      <c r="U463" t="s">
        <v>1420</v>
      </c>
      <c r="V463" t="str">
        <f>_xlfn.XLOOKUP(U463, Mapping!$A$2:$A$48, Mapping!$B$2:$B$48, "Unknown County")</f>
        <v>Nyanza</v>
      </c>
    </row>
    <row r="464" spans="1:22" x14ac:dyDescent="0.3">
      <c r="A464" t="s">
        <v>1444</v>
      </c>
      <c r="B464" t="s">
        <v>63</v>
      </c>
      <c r="C464" s="3">
        <v>44970</v>
      </c>
      <c r="D464" t="s">
        <v>22</v>
      </c>
      <c r="E464" t="s">
        <v>1445</v>
      </c>
      <c r="F464" s="7">
        <v>24</v>
      </c>
      <c r="H464" t="s">
        <v>1446</v>
      </c>
      <c r="I464" t="s">
        <v>39</v>
      </c>
      <c r="J464" t="s">
        <v>25</v>
      </c>
      <c r="K464" t="s">
        <v>84</v>
      </c>
      <c r="L464" t="s">
        <v>40</v>
      </c>
      <c r="M464" t="s">
        <v>34</v>
      </c>
      <c r="N464" t="s">
        <v>35</v>
      </c>
      <c r="O464" s="3"/>
      <c r="Q464" t="s">
        <v>28</v>
      </c>
      <c r="T464" t="s">
        <v>1447</v>
      </c>
      <c r="U464" t="s">
        <v>1420</v>
      </c>
      <c r="V464" t="str">
        <f>_xlfn.XLOOKUP(U464, Mapping!$A$2:$A$48, Mapping!$B$2:$B$48, "Unknown County")</f>
        <v>Nyanza</v>
      </c>
    </row>
    <row r="465" spans="1:22" x14ac:dyDescent="0.3">
      <c r="A465" t="s">
        <v>1448</v>
      </c>
      <c r="B465" t="s">
        <v>58</v>
      </c>
      <c r="C465" s="3">
        <v>42668</v>
      </c>
      <c r="D465" t="s">
        <v>22</v>
      </c>
      <c r="E465" t="s">
        <v>28</v>
      </c>
      <c r="F465" s="7"/>
      <c r="H465" t="s">
        <v>28</v>
      </c>
      <c r="I465" t="s">
        <v>94</v>
      </c>
      <c r="J465" t="s">
        <v>83</v>
      </c>
      <c r="K465" t="s">
        <v>84</v>
      </c>
      <c r="L465" t="s">
        <v>40</v>
      </c>
      <c r="M465" t="s">
        <v>34</v>
      </c>
      <c r="N465" t="s">
        <v>35</v>
      </c>
      <c r="O465" s="3"/>
      <c r="Q465" t="s">
        <v>28</v>
      </c>
      <c r="T465" t="s">
        <v>1449</v>
      </c>
      <c r="U465" t="s">
        <v>1450</v>
      </c>
      <c r="V465" t="str">
        <f>_xlfn.XLOOKUP(U465, Mapping!$A$2:$A$48, Mapping!$B$2:$B$48, "Unknown County")</f>
        <v>Coast</v>
      </c>
    </row>
    <row r="466" spans="1:22" x14ac:dyDescent="0.3">
      <c r="A466" t="s">
        <v>1448</v>
      </c>
      <c r="B466" t="s">
        <v>58</v>
      </c>
      <c r="C466" s="3">
        <v>42698</v>
      </c>
      <c r="D466" t="s">
        <v>22</v>
      </c>
      <c r="E466" t="s">
        <v>1451</v>
      </c>
      <c r="F466" s="7">
        <v>70</v>
      </c>
      <c r="H466" t="s">
        <v>28</v>
      </c>
      <c r="I466" t="s">
        <v>82</v>
      </c>
      <c r="J466" t="s">
        <v>28</v>
      </c>
      <c r="K466" t="s">
        <v>84</v>
      </c>
      <c r="L466" t="s">
        <v>59</v>
      </c>
      <c r="M466" t="s">
        <v>379</v>
      </c>
      <c r="N466" t="s">
        <v>35</v>
      </c>
      <c r="O466" s="3"/>
      <c r="Q466" t="s">
        <v>28</v>
      </c>
      <c r="T466" t="s">
        <v>1452</v>
      </c>
      <c r="U466" t="s">
        <v>1450</v>
      </c>
      <c r="V466" t="str">
        <f>_xlfn.XLOOKUP(U466, Mapping!$A$2:$A$48, Mapping!$B$2:$B$48, "Unknown County")</f>
        <v>Coast</v>
      </c>
    </row>
    <row r="467" spans="1:22" x14ac:dyDescent="0.3">
      <c r="A467" t="s">
        <v>1453</v>
      </c>
      <c r="B467" t="s">
        <v>63</v>
      </c>
      <c r="C467" s="3">
        <v>43096</v>
      </c>
      <c r="D467" t="s">
        <v>22</v>
      </c>
      <c r="E467" t="s">
        <v>1454</v>
      </c>
      <c r="F467" s="7">
        <v>20</v>
      </c>
      <c r="H467" t="s">
        <v>1455</v>
      </c>
      <c r="I467" t="s">
        <v>39</v>
      </c>
      <c r="J467" t="s">
        <v>25</v>
      </c>
      <c r="K467" t="s">
        <v>26</v>
      </c>
      <c r="L467" t="s">
        <v>59</v>
      </c>
      <c r="M467" t="s">
        <v>34</v>
      </c>
      <c r="N467" t="s">
        <v>35</v>
      </c>
      <c r="O467" s="3"/>
      <c r="Q467" t="s">
        <v>28</v>
      </c>
      <c r="T467" t="s">
        <v>1456</v>
      </c>
      <c r="U467" t="s">
        <v>1450</v>
      </c>
      <c r="V467" t="str">
        <f>_xlfn.XLOOKUP(U467, Mapping!$A$2:$A$48, Mapping!$B$2:$B$48, "Unknown County")</f>
        <v>Coast</v>
      </c>
    </row>
    <row r="468" spans="1:22" x14ac:dyDescent="0.3">
      <c r="A468" t="s">
        <v>1457</v>
      </c>
      <c r="B468" t="s">
        <v>21</v>
      </c>
      <c r="C468" s="3">
        <v>43105</v>
      </c>
      <c r="D468" t="s">
        <v>22</v>
      </c>
      <c r="E468" t="s">
        <v>1458</v>
      </c>
      <c r="F468" s="7">
        <v>37</v>
      </c>
      <c r="H468" t="s">
        <v>1459</v>
      </c>
      <c r="I468" t="s">
        <v>70</v>
      </c>
      <c r="J468" t="s">
        <v>25</v>
      </c>
      <c r="K468" t="s">
        <v>26</v>
      </c>
      <c r="L468" t="s">
        <v>59</v>
      </c>
      <c r="M468" t="s">
        <v>34</v>
      </c>
      <c r="N468" t="s">
        <v>35</v>
      </c>
      <c r="O468" s="3"/>
      <c r="Q468" t="s">
        <v>28</v>
      </c>
      <c r="T468" t="s">
        <v>1460</v>
      </c>
      <c r="U468" t="s">
        <v>1450</v>
      </c>
      <c r="V468" t="str">
        <f>_xlfn.XLOOKUP(U468, Mapping!$A$2:$A$48, Mapping!$B$2:$B$48, "Unknown County")</f>
        <v>Coast</v>
      </c>
    </row>
    <row r="469" spans="1:22" x14ac:dyDescent="0.3">
      <c r="A469" t="s">
        <v>1461</v>
      </c>
      <c r="B469" t="s">
        <v>58</v>
      </c>
      <c r="C469" s="3">
        <v>43157</v>
      </c>
      <c r="D469" t="s">
        <v>22</v>
      </c>
      <c r="E469" t="s">
        <v>28</v>
      </c>
      <c r="F469" s="7">
        <v>71</v>
      </c>
      <c r="H469" t="s">
        <v>28</v>
      </c>
      <c r="I469" t="s">
        <v>82</v>
      </c>
      <c r="J469" t="s">
        <v>83</v>
      </c>
      <c r="K469" t="s">
        <v>26</v>
      </c>
      <c r="L469" t="s">
        <v>173</v>
      </c>
      <c r="M469" t="s">
        <v>28</v>
      </c>
      <c r="N469" t="s">
        <v>35</v>
      </c>
      <c r="O469" s="3"/>
      <c r="Q469" t="s">
        <v>28</v>
      </c>
      <c r="T469" t="s">
        <v>1462</v>
      </c>
      <c r="U469" t="s">
        <v>1450</v>
      </c>
      <c r="V469" t="str">
        <f>_xlfn.XLOOKUP(U469, Mapping!$A$2:$A$48, Mapping!$B$2:$B$48, "Unknown County")</f>
        <v>Coast</v>
      </c>
    </row>
    <row r="470" spans="1:22" x14ac:dyDescent="0.3">
      <c r="A470" t="s">
        <v>1457</v>
      </c>
      <c r="B470" t="s">
        <v>21</v>
      </c>
      <c r="C470" s="3">
        <v>44299</v>
      </c>
      <c r="D470" t="s">
        <v>22</v>
      </c>
      <c r="E470" t="s">
        <v>1463</v>
      </c>
      <c r="F470" s="7"/>
      <c r="H470" t="s">
        <v>28</v>
      </c>
      <c r="I470" t="s">
        <v>82</v>
      </c>
      <c r="J470" t="s">
        <v>83</v>
      </c>
      <c r="K470" t="s">
        <v>84</v>
      </c>
      <c r="L470" t="s">
        <v>27</v>
      </c>
      <c r="M470" t="s">
        <v>28</v>
      </c>
      <c r="N470" t="s">
        <v>35</v>
      </c>
      <c r="O470" s="3"/>
      <c r="Q470" t="s">
        <v>28</v>
      </c>
      <c r="T470" t="s">
        <v>1464</v>
      </c>
      <c r="U470" t="s">
        <v>1450</v>
      </c>
      <c r="V470" t="str">
        <f>_xlfn.XLOOKUP(U470, Mapping!$A$2:$A$48, Mapping!$B$2:$B$48, "Unknown County")</f>
        <v>Coast</v>
      </c>
    </row>
    <row r="471" spans="1:22" x14ac:dyDescent="0.3">
      <c r="A471" t="s">
        <v>28</v>
      </c>
      <c r="B471" t="s">
        <v>63</v>
      </c>
      <c r="C471" s="3">
        <v>44054</v>
      </c>
      <c r="D471" t="s">
        <v>22</v>
      </c>
      <c r="E471" t="s">
        <v>1465</v>
      </c>
      <c r="F471" s="7">
        <v>58</v>
      </c>
      <c r="H471" t="s">
        <v>28</v>
      </c>
      <c r="I471" t="s">
        <v>82</v>
      </c>
      <c r="J471" t="s">
        <v>28</v>
      </c>
      <c r="K471" t="s">
        <v>84</v>
      </c>
      <c r="L471" t="s">
        <v>33</v>
      </c>
      <c r="M471" t="s">
        <v>28</v>
      </c>
      <c r="N471" t="s">
        <v>35</v>
      </c>
      <c r="O471" s="3"/>
      <c r="Q471" t="s">
        <v>28</v>
      </c>
      <c r="T471" t="s">
        <v>1466</v>
      </c>
      <c r="U471" t="s">
        <v>1467</v>
      </c>
      <c r="V471" t="str">
        <f>_xlfn.XLOOKUP(U471, Mapping!$A$2:$A$48, Mapping!$B$2:$B$48, "Unknown County")</f>
        <v>Coast</v>
      </c>
    </row>
    <row r="472" spans="1:22" x14ac:dyDescent="0.3">
      <c r="A472" t="s">
        <v>1468</v>
      </c>
      <c r="B472" t="s">
        <v>63</v>
      </c>
      <c r="C472" s="3">
        <v>45071</v>
      </c>
      <c r="D472" t="s">
        <v>22</v>
      </c>
      <c r="E472" t="s">
        <v>1469</v>
      </c>
      <c r="F472" s="7">
        <v>21</v>
      </c>
      <c r="G472" s="3">
        <v>45070</v>
      </c>
      <c r="H472" t="s">
        <v>28</v>
      </c>
      <c r="I472" t="s">
        <v>82</v>
      </c>
      <c r="J472" t="s">
        <v>28</v>
      </c>
      <c r="K472" t="s">
        <v>84</v>
      </c>
      <c r="L472" t="s">
        <v>85</v>
      </c>
      <c r="M472" t="s">
        <v>28</v>
      </c>
      <c r="N472" t="s">
        <v>35</v>
      </c>
      <c r="O472" s="3"/>
      <c r="Q472" t="s">
        <v>28</v>
      </c>
      <c r="T472" t="s">
        <v>1470</v>
      </c>
      <c r="U472" t="s">
        <v>1605</v>
      </c>
      <c r="V472" t="str">
        <f>_xlfn.XLOOKUP(U472, Mapping!$A$2:$A$48, Mapping!$B$2:$B$48, "Unknown County")</f>
        <v>Eastern</v>
      </c>
    </row>
    <row r="473" spans="1:22" x14ac:dyDescent="0.3">
      <c r="A473" t="s">
        <v>1471</v>
      </c>
      <c r="B473" t="s">
        <v>135</v>
      </c>
      <c r="C473" s="3">
        <v>44523</v>
      </c>
      <c r="D473" t="s">
        <v>22</v>
      </c>
      <c r="E473" t="s">
        <v>1472</v>
      </c>
      <c r="F473" s="7">
        <v>56</v>
      </c>
      <c r="H473" t="s">
        <v>1473</v>
      </c>
      <c r="I473" t="s">
        <v>94</v>
      </c>
      <c r="J473" t="s">
        <v>28</v>
      </c>
      <c r="K473" t="s">
        <v>26</v>
      </c>
      <c r="L473" t="s">
        <v>59</v>
      </c>
      <c r="M473" t="s">
        <v>28</v>
      </c>
      <c r="N473" t="s">
        <v>28</v>
      </c>
      <c r="O473" s="3"/>
      <c r="Q473" t="s">
        <v>28</v>
      </c>
      <c r="T473" t="s">
        <v>1474</v>
      </c>
      <c r="U473" t="s">
        <v>1478</v>
      </c>
      <c r="V473" t="str">
        <f>_xlfn.XLOOKUP(U473, Mapping!$A$2:$A$48, Mapping!$B$2:$B$48, "Unknown County")</f>
        <v>Rift Valley</v>
      </c>
    </row>
    <row r="474" spans="1:22" x14ac:dyDescent="0.3">
      <c r="A474" t="s">
        <v>377</v>
      </c>
      <c r="B474" t="s">
        <v>279</v>
      </c>
      <c r="C474" s="3">
        <v>43610</v>
      </c>
      <c r="D474" t="s">
        <v>22</v>
      </c>
      <c r="E474" t="s">
        <v>1475</v>
      </c>
      <c r="F474" s="7"/>
      <c r="H474" t="s">
        <v>1476</v>
      </c>
      <c r="I474" t="s">
        <v>82</v>
      </c>
      <c r="J474" t="s">
        <v>28</v>
      </c>
      <c r="K474" t="s">
        <v>26</v>
      </c>
      <c r="L474" t="s">
        <v>59</v>
      </c>
      <c r="M474" t="s">
        <v>34</v>
      </c>
      <c r="N474" t="s">
        <v>28</v>
      </c>
      <c r="O474" s="3"/>
      <c r="P474" s="3">
        <v>43610</v>
      </c>
      <c r="Q474" t="s">
        <v>29</v>
      </c>
      <c r="R474" s="7">
        <v>25</v>
      </c>
      <c r="S474" s="7">
        <v>2879</v>
      </c>
      <c r="T474" t="s">
        <v>1477</v>
      </c>
      <c r="U474" t="s">
        <v>1478</v>
      </c>
      <c r="V474" t="str">
        <f>_xlfn.XLOOKUP(U474, Mapping!$A$2:$A$48, Mapping!$B$2:$B$48, "Unknown County")</f>
        <v>Rift Valley</v>
      </c>
    </row>
    <row r="475" spans="1:22" x14ac:dyDescent="0.3">
      <c r="A475" t="s">
        <v>1479</v>
      </c>
      <c r="B475" t="s">
        <v>63</v>
      </c>
      <c r="C475" s="3">
        <v>43733</v>
      </c>
      <c r="D475" t="s">
        <v>22</v>
      </c>
      <c r="E475" t="s">
        <v>1480</v>
      </c>
      <c r="F475" s="7"/>
      <c r="G475" s="3">
        <v>41039</v>
      </c>
      <c r="H475" t="s">
        <v>1481</v>
      </c>
      <c r="I475" t="s">
        <v>1585</v>
      </c>
      <c r="J475" t="s">
        <v>25</v>
      </c>
      <c r="K475" t="s">
        <v>84</v>
      </c>
      <c r="L475" t="s">
        <v>59</v>
      </c>
      <c r="M475" t="s">
        <v>216</v>
      </c>
      <c r="N475" t="s">
        <v>28</v>
      </c>
      <c r="O475" s="3"/>
      <c r="P475" s="3">
        <v>43733</v>
      </c>
      <c r="Q475" t="s">
        <v>29</v>
      </c>
      <c r="R475" s="7">
        <v>25</v>
      </c>
      <c r="S475" s="7">
        <v>2694</v>
      </c>
      <c r="T475" t="s">
        <v>1482</v>
      </c>
      <c r="U475" t="s">
        <v>1478</v>
      </c>
      <c r="V475" t="str">
        <f>_xlfn.XLOOKUP(U475, Mapping!$A$2:$A$48, Mapping!$B$2:$B$48, "Unknown County")</f>
        <v>Rift Valley</v>
      </c>
    </row>
    <row r="476" spans="1:22" x14ac:dyDescent="0.3">
      <c r="A476" t="s">
        <v>1343</v>
      </c>
      <c r="B476" t="s">
        <v>58</v>
      </c>
      <c r="C476" s="3">
        <v>43385</v>
      </c>
      <c r="D476" t="s">
        <v>22</v>
      </c>
      <c r="E476" t="s">
        <v>1483</v>
      </c>
      <c r="F476" s="7"/>
      <c r="H476" t="s">
        <v>1484</v>
      </c>
      <c r="I476" t="s">
        <v>39</v>
      </c>
      <c r="J476" t="s">
        <v>25</v>
      </c>
      <c r="K476" t="s">
        <v>26</v>
      </c>
      <c r="L476" t="s">
        <v>40</v>
      </c>
      <c r="M476" t="s">
        <v>28</v>
      </c>
      <c r="N476" t="s">
        <v>1384</v>
      </c>
      <c r="O476" s="3"/>
      <c r="Q476" t="s">
        <v>28</v>
      </c>
      <c r="T476" t="s">
        <v>1485</v>
      </c>
      <c r="U476" t="s">
        <v>1478</v>
      </c>
      <c r="V476" t="str">
        <f>_xlfn.XLOOKUP(U476, Mapping!$A$2:$A$48, Mapping!$B$2:$B$48, "Unknown County")</f>
        <v>Rift Valley</v>
      </c>
    </row>
    <row r="477" spans="1:22" x14ac:dyDescent="0.3">
      <c r="A477" t="s">
        <v>1471</v>
      </c>
      <c r="B477" t="s">
        <v>58</v>
      </c>
      <c r="C477" s="3">
        <v>43081</v>
      </c>
      <c r="D477" t="s">
        <v>22</v>
      </c>
      <c r="E477" t="s">
        <v>1486</v>
      </c>
      <c r="F477" s="7">
        <v>23</v>
      </c>
      <c r="H477" t="s">
        <v>1487</v>
      </c>
      <c r="I477" t="s">
        <v>39</v>
      </c>
      <c r="J477" t="s">
        <v>25</v>
      </c>
      <c r="K477" t="s">
        <v>26</v>
      </c>
      <c r="L477" t="s">
        <v>59</v>
      </c>
      <c r="M477" t="s">
        <v>34</v>
      </c>
      <c r="N477" t="s">
        <v>35</v>
      </c>
      <c r="O477" s="3"/>
      <c r="Q477" t="s">
        <v>28</v>
      </c>
      <c r="T477" t="s">
        <v>1477</v>
      </c>
      <c r="U477" t="s">
        <v>1478</v>
      </c>
      <c r="V477" t="str">
        <f>_xlfn.XLOOKUP(U477, Mapping!$A$2:$A$48, Mapping!$B$2:$B$48, "Unknown County")</f>
        <v>Rift Valley</v>
      </c>
    </row>
    <row r="478" spans="1:22" x14ac:dyDescent="0.3">
      <c r="A478" t="s">
        <v>1471</v>
      </c>
      <c r="B478" t="s">
        <v>58</v>
      </c>
      <c r="C478" s="3">
        <v>43288</v>
      </c>
      <c r="D478" t="s">
        <v>22</v>
      </c>
      <c r="E478" t="s">
        <v>28</v>
      </c>
      <c r="F478" s="7">
        <v>80</v>
      </c>
      <c r="H478" t="s">
        <v>28</v>
      </c>
      <c r="I478" t="s">
        <v>82</v>
      </c>
      <c r="J478" t="s">
        <v>28</v>
      </c>
      <c r="K478" t="s">
        <v>84</v>
      </c>
      <c r="L478" t="s">
        <v>165</v>
      </c>
      <c r="M478" t="s">
        <v>183</v>
      </c>
      <c r="N478" t="s">
        <v>35</v>
      </c>
      <c r="O478" s="3"/>
      <c r="Q478" t="s">
        <v>28</v>
      </c>
      <c r="T478" t="s">
        <v>1488</v>
      </c>
      <c r="U478" t="s">
        <v>1478</v>
      </c>
      <c r="V478" t="str">
        <f>_xlfn.XLOOKUP(U478, Mapping!$A$2:$A$48, Mapping!$B$2:$B$48, "Unknown County")</f>
        <v>Rift Valley</v>
      </c>
    </row>
    <row r="479" spans="1:22" x14ac:dyDescent="0.3">
      <c r="A479" t="s">
        <v>1471</v>
      </c>
      <c r="B479" t="s">
        <v>58</v>
      </c>
      <c r="C479" s="3">
        <v>43404</v>
      </c>
      <c r="D479" t="s">
        <v>22</v>
      </c>
      <c r="E479" t="s">
        <v>28</v>
      </c>
      <c r="F479" s="7">
        <v>36</v>
      </c>
      <c r="H479" t="s">
        <v>28</v>
      </c>
      <c r="I479" t="s">
        <v>39</v>
      </c>
      <c r="J479" t="s">
        <v>25</v>
      </c>
      <c r="K479" t="s">
        <v>26</v>
      </c>
      <c r="L479" t="s">
        <v>165</v>
      </c>
      <c r="M479" t="s">
        <v>34</v>
      </c>
      <c r="N479" t="s">
        <v>35</v>
      </c>
      <c r="O479" s="3"/>
      <c r="Q479" t="s">
        <v>28</v>
      </c>
      <c r="T479" t="s">
        <v>1489</v>
      </c>
      <c r="U479" t="s">
        <v>1478</v>
      </c>
      <c r="V479" t="str">
        <f>_xlfn.XLOOKUP(U479, Mapping!$A$2:$A$48, Mapping!$B$2:$B$48, "Unknown County")</f>
        <v>Rift Valley</v>
      </c>
    </row>
    <row r="480" spans="1:22" x14ac:dyDescent="0.3">
      <c r="A480" t="s">
        <v>1490</v>
      </c>
      <c r="B480" t="s">
        <v>63</v>
      </c>
      <c r="C480" s="3">
        <v>43897</v>
      </c>
      <c r="D480" t="s">
        <v>22</v>
      </c>
      <c r="E480" t="s">
        <v>1491</v>
      </c>
      <c r="F480" s="7">
        <v>42</v>
      </c>
      <c r="H480" t="s">
        <v>1492</v>
      </c>
      <c r="I480" t="s">
        <v>39</v>
      </c>
      <c r="J480" t="s">
        <v>25</v>
      </c>
      <c r="K480" t="s">
        <v>26</v>
      </c>
      <c r="L480" t="s">
        <v>139</v>
      </c>
      <c r="M480" t="s">
        <v>34</v>
      </c>
      <c r="N480" t="s">
        <v>1384</v>
      </c>
      <c r="O480" s="3">
        <v>43894</v>
      </c>
      <c r="Q480" t="s">
        <v>28</v>
      </c>
      <c r="T480" t="s">
        <v>1493</v>
      </c>
      <c r="U480" t="s">
        <v>1478</v>
      </c>
      <c r="V480" t="str">
        <f>_xlfn.XLOOKUP(U480, Mapping!$A$2:$A$48, Mapping!$B$2:$B$48, "Unknown County")</f>
        <v>Rift Valley</v>
      </c>
    </row>
    <row r="481" spans="1:22" x14ac:dyDescent="0.3">
      <c r="A481" t="s">
        <v>1479</v>
      </c>
      <c r="B481" t="s">
        <v>63</v>
      </c>
      <c r="C481" s="3">
        <v>43592</v>
      </c>
      <c r="D481" t="s">
        <v>22</v>
      </c>
      <c r="E481" t="s">
        <v>1494</v>
      </c>
      <c r="F481" s="7">
        <v>51</v>
      </c>
      <c r="G481" s="3">
        <v>43591</v>
      </c>
      <c r="H481" t="s">
        <v>1495</v>
      </c>
      <c r="I481" t="s">
        <v>39</v>
      </c>
      <c r="J481" t="s">
        <v>25</v>
      </c>
      <c r="K481" t="s">
        <v>26</v>
      </c>
      <c r="L481" t="s">
        <v>33</v>
      </c>
      <c r="M481" t="s">
        <v>34</v>
      </c>
      <c r="N481" t="s">
        <v>35</v>
      </c>
      <c r="O481" s="3"/>
      <c r="Q481" t="s">
        <v>28</v>
      </c>
      <c r="T481" t="s">
        <v>1496</v>
      </c>
      <c r="U481" t="s">
        <v>1478</v>
      </c>
      <c r="V481" t="str">
        <f>_xlfn.XLOOKUP(U481, Mapping!$A$2:$A$48, Mapping!$B$2:$B$48, "Unknown County")</f>
        <v>Rift Valley</v>
      </c>
    </row>
    <row r="482" spans="1:22" x14ac:dyDescent="0.3">
      <c r="A482" t="s">
        <v>1479</v>
      </c>
      <c r="B482" t="s">
        <v>63</v>
      </c>
      <c r="C482" s="3">
        <v>43695</v>
      </c>
      <c r="D482" t="s">
        <v>22</v>
      </c>
      <c r="E482" t="s">
        <v>1497</v>
      </c>
      <c r="F482" s="7"/>
      <c r="H482" t="s">
        <v>1498</v>
      </c>
      <c r="I482" t="s">
        <v>39</v>
      </c>
      <c r="J482" t="s">
        <v>25</v>
      </c>
      <c r="K482" t="s">
        <v>26</v>
      </c>
      <c r="L482" t="s">
        <v>33</v>
      </c>
      <c r="M482" t="s">
        <v>34</v>
      </c>
      <c r="N482" t="s">
        <v>140</v>
      </c>
      <c r="O482" s="3"/>
      <c r="Q482" t="s">
        <v>28</v>
      </c>
      <c r="T482" t="s">
        <v>1499</v>
      </c>
      <c r="U482" t="s">
        <v>1478</v>
      </c>
      <c r="V482" t="str">
        <f>_xlfn.XLOOKUP(U482, Mapping!$A$2:$A$48, Mapping!$B$2:$B$48, "Unknown County")</f>
        <v>Rift Valley</v>
      </c>
    </row>
    <row r="483" spans="1:22" x14ac:dyDescent="0.3">
      <c r="A483" t="s">
        <v>1500</v>
      </c>
      <c r="B483" t="s">
        <v>63</v>
      </c>
      <c r="C483" s="3">
        <v>44990</v>
      </c>
      <c r="D483" t="s">
        <v>22</v>
      </c>
      <c r="E483" t="s">
        <v>1501</v>
      </c>
      <c r="F483" s="7">
        <v>43</v>
      </c>
      <c r="H483" t="s">
        <v>1502</v>
      </c>
      <c r="I483" t="s">
        <v>39</v>
      </c>
      <c r="J483" t="s">
        <v>25</v>
      </c>
      <c r="K483" t="s">
        <v>71</v>
      </c>
      <c r="L483" t="s">
        <v>72</v>
      </c>
      <c r="M483" t="s">
        <v>1503</v>
      </c>
      <c r="N483" t="s">
        <v>35</v>
      </c>
      <c r="O483" s="3">
        <v>44991</v>
      </c>
      <c r="Q483" t="s">
        <v>28</v>
      </c>
      <c r="T483" t="s">
        <v>1504</v>
      </c>
      <c r="U483" t="s">
        <v>1478</v>
      </c>
      <c r="V483" t="str">
        <f>_xlfn.XLOOKUP(U483, Mapping!$A$2:$A$48, Mapping!$B$2:$B$48, "Unknown County")</f>
        <v>Rift Valley</v>
      </c>
    </row>
    <row r="484" spans="1:22" x14ac:dyDescent="0.3">
      <c r="A484" t="s">
        <v>1505</v>
      </c>
      <c r="B484" t="s">
        <v>267</v>
      </c>
      <c r="C484" s="3">
        <v>44176</v>
      </c>
      <c r="D484" t="s">
        <v>22</v>
      </c>
      <c r="E484" t="s">
        <v>1506</v>
      </c>
      <c r="F484" s="7">
        <v>18</v>
      </c>
      <c r="H484" t="s">
        <v>1507</v>
      </c>
      <c r="I484" t="s">
        <v>70</v>
      </c>
      <c r="J484" t="s">
        <v>25</v>
      </c>
      <c r="K484" t="s">
        <v>26</v>
      </c>
      <c r="L484" t="s">
        <v>165</v>
      </c>
      <c r="M484" t="s">
        <v>28</v>
      </c>
      <c r="N484" t="s">
        <v>35</v>
      </c>
      <c r="O484" s="3"/>
      <c r="Q484" t="s">
        <v>28</v>
      </c>
      <c r="T484" t="s">
        <v>1508</v>
      </c>
      <c r="U484" t="s">
        <v>1509</v>
      </c>
      <c r="V484" t="str">
        <f>_xlfn.XLOOKUP(U484, Mapping!$A$2:$A$48, Mapping!$B$2:$B$48, "Unknown County")</f>
        <v>Rift Valley</v>
      </c>
    </row>
    <row r="485" spans="1:22" x14ac:dyDescent="0.3">
      <c r="A485" t="s">
        <v>384</v>
      </c>
      <c r="B485" t="s">
        <v>58</v>
      </c>
      <c r="C485" s="3">
        <v>44554</v>
      </c>
      <c r="D485" t="s">
        <v>22</v>
      </c>
      <c r="E485" t="s">
        <v>1510</v>
      </c>
      <c r="F485" s="7"/>
      <c r="H485" t="s">
        <v>1511</v>
      </c>
      <c r="I485" t="s">
        <v>186</v>
      </c>
      <c r="J485" t="s">
        <v>83</v>
      </c>
      <c r="K485" t="s">
        <v>26</v>
      </c>
      <c r="L485" t="s">
        <v>40</v>
      </c>
      <c r="M485" t="s">
        <v>60</v>
      </c>
      <c r="N485" t="s">
        <v>28</v>
      </c>
      <c r="O485" s="3"/>
      <c r="P485" s="3">
        <v>44554</v>
      </c>
      <c r="Q485" t="s">
        <v>29</v>
      </c>
      <c r="R485" s="7">
        <v>10</v>
      </c>
      <c r="S485" s="7">
        <v>2566</v>
      </c>
      <c r="T485" t="s">
        <v>1512</v>
      </c>
      <c r="U485" t="s">
        <v>1513</v>
      </c>
      <c r="V485" t="str">
        <f>_xlfn.XLOOKUP(U485, Mapping!$A$2:$A$48, Mapping!$B$2:$B$48, "Unknown County")</f>
        <v>Rift Valley</v>
      </c>
    </row>
    <row r="486" spans="1:22" x14ac:dyDescent="0.3">
      <c r="A486" t="s">
        <v>1315</v>
      </c>
      <c r="B486" t="s">
        <v>21</v>
      </c>
      <c r="C486" s="3">
        <v>43154</v>
      </c>
      <c r="D486" t="s">
        <v>22</v>
      </c>
      <c r="E486" t="s">
        <v>1514</v>
      </c>
      <c r="F486" s="7"/>
      <c r="H486" t="s">
        <v>1515</v>
      </c>
      <c r="I486" t="s">
        <v>39</v>
      </c>
      <c r="J486" t="s">
        <v>25</v>
      </c>
      <c r="K486" t="s">
        <v>26</v>
      </c>
      <c r="L486" t="s">
        <v>59</v>
      </c>
      <c r="M486" t="s">
        <v>34</v>
      </c>
      <c r="N486" t="s">
        <v>35</v>
      </c>
      <c r="O486" s="3"/>
      <c r="Q486" t="s">
        <v>28</v>
      </c>
      <c r="T486" t="s">
        <v>1516</v>
      </c>
      <c r="U486" t="s">
        <v>1513</v>
      </c>
      <c r="V486" t="str">
        <f>_xlfn.XLOOKUP(U486, Mapping!$A$2:$A$48, Mapping!$B$2:$B$48, "Unknown County")</f>
        <v>Rift Valley</v>
      </c>
    </row>
    <row r="487" spans="1:22" x14ac:dyDescent="0.3">
      <c r="A487" t="s">
        <v>147</v>
      </c>
      <c r="B487" t="s">
        <v>58</v>
      </c>
      <c r="C487" s="3">
        <v>43376</v>
      </c>
      <c r="D487" t="s">
        <v>22</v>
      </c>
      <c r="E487" t="s">
        <v>1517</v>
      </c>
      <c r="F487" s="7">
        <v>19</v>
      </c>
      <c r="H487" t="s">
        <v>1518</v>
      </c>
      <c r="I487" t="s">
        <v>82</v>
      </c>
      <c r="J487" t="s">
        <v>28</v>
      </c>
      <c r="K487" t="s">
        <v>26</v>
      </c>
      <c r="L487" t="s">
        <v>59</v>
      </c>
      <c r="M487" t="s">
        <v>28</v>
      </c>
      <c r="N487" t="s">
        <v>1384</v>
      </c>
      <c r="O487" s="3">
        <v>43364</v>
      </c>
      <c r="Q487" t="s">
        <v>28</v>
      </c>
      <c r="T487" t="s">
        <v>1519</v>
      </c>
      <c r="U487" t="s">
        <v>1513</v>
      </c>
      <c r="V487" t="str">
        <f>_xlfn.XLOOKUP(U487, Mapping!$A$2:$A$48, Mapping!$B$2:$B$48, "Unknown County")</f>
        <v>Rift Valley</v>
      </c>
    </row>
    <row r="488" spans="1:22" x14ac:dyDescent="0.3">
      <c r="A488" t="s">
        <v>1315</v>
      </c>
      <c r="B488" t="s">
        <v>21</v>
      </c>
      <c r="C488" s="3">
        <v>43523</v>
      </c>
      <c r="D488" t="s">
        <v>22</v>
      </c>
      <c r="E488" t="s">
        <v>1520</v>
      </c>
      <c r="F488" s="7">
        <v>25</v>
      </c>
      <c r="H488" t="s">
        <v>1521</v>
      </c>
      <c r="I488" t="s">
        <v>70</v>
      </c>
      <c r="J488" t="s">
        <v>25</v>
      </c>
      <c r="K488" t="s">
        <v>26</v>
      </c>
      <c r="L488" t="s">
        <v>165</v>
      </c>
      <c r="M488" t="s">
        <v>34</v>
      </c>
      <c r="N488" t="s">
        <v>1384</v>
      </c>
      <c r="O488" s="3">
        <v>43538</v>
      </c>
      <c r="Q488" t="s">
        <v>28</v>
      </c>
      <c r="T488" t="s">
        <v>1519</v>
      </c>
      <c r="U488" t="s">
        <v>1513</v>
      </c>
      <c r="V488" t="str">
        <f>_xlfn.XLOOKUP(U488, Mapping!$A$2:$A$48, Mapping!$B$2:$B$48, "Unknown County")</f>
        <v>Rift Valley</v>
      </c>
    </row>
    <row r="489" spans="1:22" x14ac:dyDescent="0.3">
      <c r="A489" t="s">
        <v>1522</v>
      </c>
      <c r="B489" t="s">
        <v>63</v>
      </c>
      <c r="C489" s="3">
        <v>43566</v>
      </c>
      <c r="D489" t="s">
        <v>22</v>
      </c>
      <c r="E489" t="s">
        <v>1523</v>
      </c>
      <c r="F489" s="7">
        <v>25</v>
      </c>
      <c r="H489" t="s">
        <v>1524</v>
      </c>
      <c r="I489" t="s">
        <v>70</v>
      </c>
      <c r="J489" t="s">
        <v>25</v>
      </c>
      <c r="K489" t="s">
        <v>84</v>
      </c>
      <c r="L489" t="s">
        <v>33</v>
      </c>
      <c r="M489" t="s">
        <v>60</v>
      </c>
      <c r="N489" t="s">
        <v>1384</v>
      </c>
      <c r="O489" s="3">
        <v>43570</v>
      </c>
      <c r="Q489" t="s">
        <v>41</v>
      </c>
      <c r="S489" s="7">
        <v>1662</v>
      </c>
      <c r="T489" t="s">
        <v>1519</v>
      </c>
      <c r="U489" t="s">
        <v>1513</v>
      </c>
      <c r="V489" t="str">
        <f>_xlfn.XLOOKUP(U489, Mapping!$A$2:$A$48, Mapping!$B$2:$B$48, "Unknown County")</f>
        <v>Rift Valley</v>
      </c>
    </row>
    <row r="490" spans="1:22" x14ac:dyDescent="0.3">
      <c r="A490" t="s">
        <v>28</v>
      </c>
      <c r="B490" t="s">
        <v>115</v>
      </c>
      <c r="D490" t="s">
        <v>22</v>
      </c>
      <c r="E490" t="s">
        <v>1525</v>
      </c>
      <c r="F490" s="7"/>
      <c r="H490" t="s">
        <v>28</v>
      </c>
      <c r="I490" t="s">
        <v>39</v>
      </c>
      <c r="J490" t="s">
        <v>28</v>
      </c>
      <c r="K490" t="s">
        <v>28</v>
      </c>
      <c r="L490" t="s">
        <v>46</v>
      </c>
      <c r="M490" t="s">
        <v>28</v>
      </c>
      <c r="N490" t="s">
        <v>28</v>
      </c>
      <c r="O490" s="3"/>
      <c r="Q490" t="s">
        <v>28</v>
      </c>
      <c r="T490" t="s">
        <v>1526</v>
      </c>
      <c r="U490" t="s">
        <v>1513</v>
      </c>
      <c r="V490" t="str">
        <f>_xlfn.XLOOKUP(U490, Mapping!$A$2:$A$48, Mapping!$B$2:$B$48, "Unknown County")</f>
        <v>Rift Valley</v>
      </c>
    </row>
    <row r="491" spans="1:22" x14ac:dyDescent="0.3">
      <c r="A491" t="s">
        <v>1490</v>
      </c>
      <c r="B491" t="s">
        <v>63</v>
      </c>
      <c r="C491" s="3">
        <v>43684</v>
      </c>
      <c r="D491" t="s">
        <v>22</v>
      </c>
      <c r="E491" t="s">
        <v>1527</v>
      </c>
      <c r="F491" s="7">
        <v>27</v>
      </c>
      <c r="H491" t="s">
        <v>1528</v>
      </c>
      <c r="I491" t="s">
        <v>1584</v>
      </c>
      <c r="J491" t="s">
        <v>25</v>
      </c>
      <c r="K491" t="s">
        <v>28</v>
      </c>
      <c r="L491" t="s">
        <v>165</v>
      </c>
      <c r="M491" t="s">
        <v>28</v>
      </c>
      <c r="N491" t="s">
        <v>1384</v>
      </c>
      <c r="O491" s="3">
        <v>43690</v>
      </c>
      <c r="Q491" t="s">
        <v>28</v>
      </c>
      <c r="T491" t="s">
        <v>28</v>
      </c>
      <c r="U491" t="s">
        <v>1513</v>
      </c>
      <c r="V491" t="str">
        <f>_xlfn.XLOOKUP(U491, Mapping!$A$2:$A$48, Mapping!$B$2:$B$48, "Unknown County")</f>
        <v>Rift Valley</v>
      </c>
    </row>
    <row r="492" spans="1:22" x14ac:dyDescent="0.3">
      <c r="A492" t="s">
        <v>28</v>
      </c>
      <c r="B492" t="s">
        <v>63</v>
      </c>
      <c r="D492" t="s">
        <v>22</v>
      </c>
      <c r="E492" t="s">
        <v>1529</v>
      </c>
      <c r="F492" s="7"/>
      <c r="H492" t="s">
        <v>28</v>
      </c>
      <c r="I492" t="s">
        <v>70</v>
      </c>
      <c r="J492" t="s">
        <v>28</v>
      </c>
      <c r="K492" t="s">
        <v>28</v>
      </c>
      <c r="L492" t="s">
        <v>46</v>
      </c>
      <c r="M492" t="s">
        <v>28</v>
      </c>
      <c r="N492" t="s">
        <v>28</v>
      </c>
      <c r="O492" s="3"/>
      <c r="Q492" t="s">
        <v>28</v>
      </c>
      <c r="T492" t="s">
        <v>1526</v>
      </c>
      <c r="U492" t="s">
        <v>1513</v>
      </c>
      <c r="V492" t="str">
        <f>_xlfn.XLOOKUP(U492, Mapping!$A$2:$A$48, Mapping!$B$2:$B$48, "Unknown County")</f>
        <v>Rift Valley</v>
      </c>
    </row>
    <row r="493" spans="1:22" x14ac:dyDescent="0.3">
      <c r="A493" t="s">
        <v>1315</v>
      </c>
      <c r="B493" t="s">
        <v>21</v>
      </c>
      <c r="C493" s="3">
        <v>43775</v>
      </c>
      <c r="D493" t="s">
        <v>22</v>
      </c>
      <c r="E493" t="s">
        <v>1530</v>
      </c>
      <c r="F493" s="7">
        <v>26</v>
      </c>
      <c r="H493" t="s">
        <v>1531</v>
      </c>
      <c r="I493" t="s">
        <v>82</v>
      </c>
      <c r="J493" t="s">
        <v>28</v>
      </c>
      <c r="K493" t="s">
        <v>84</v>
      </c>
      <c r="L493" t="s">
        <v>33</v>
      </c>
      <c r="M493" t="s">
        <v>28</v>
      </c>
      <c r="N493" t="s">
        <v>1384</v>
      </c>
      <c r="O493" s="3">
        <v>43774</v>
      </c>
      <c r="Q493" t="s">
        <v>28</v>
      </c>
      <c r="T493" t="s">
        <v>1532</v>
      </c>
      <c r="U493" t="s">
        <v>1513</v>
      </c>
      <c r="V493" t="str">
        <f>_xlfn.XLOOKUP(U493, Mapping!$A$2:$A$48, Mapping!$B$2:$B$48, "Unknown County")</f>
        <v>Rift Valley</v>
      </c>
    </row>
    <row r="494" spans="1:22" x14ac:dyDescent="0.3">
      <c r="A494" t="s">
        <v>20</v>
      </c>
      <c r="B494" t="s">
        <v>776</v>
      </c>
      <c r="C494" s="3">
        <v>44599</v>
      </c>
      <c r="D494" t="s">
        <v>22</v>
      </c>
      <c r="E494" t="s">
        <v>1533</v>
      </c>
      <c r="F494" s="7">
        <v>10</v>
      </c>
      <c r="H494" t="s">
        <v>1534</v>
      </c>
      <c r="I494" t="s">
        <v>82</v>
      </c>
      <c r="J494" t="s">
        <v>28</v>
      </c>
      <c r="K494" t="s">
        <v>28</v>
      </c>
      <c r="L494" t="s">
        <v>173</v>
      </c>
      <c r="M494" t="s">
        <v>28</v>
      </c>
      <c r="N494" t="s">
        <v>28</v>
      </c>
      <c r="O494" s="3"/>
      <c r="Q494" t="s">
        <v>28</v>
      </c>
      <c r="T494" t="s">
        <v>1535</v>
      </c>
      <c r="U494" t="s">
        <v>1513</v>
      </c>
      <c r="V494" t="str">
        <f>_xlfn.XLOOKUP(U494, Mapping!$A$2:$A$48, Mapping!$B$2:$B$48, "Unknown County")</f>
        <v>Rift Valley</v>
      </c>
    </row>
    <row r="495" spans="1:22" x14ac:dyDescent="0.3">
      <c r="A495" t="s">
        <v>1536</v>
      </c>
      <c r="B495" t="s">
        <v>21</v>
      </c>
      <c r="C495" s="3">
        <v>44343</v>
      </c>
      <c r="D495" t="s">
        <v>22</v>
      </c>
      <c r="E495" t="s">
        <v>1537</v>
      </c>
      <c r="F495" s="7">
        <v>20</v>
      </c>
      <c r="G495" s="3">
        <v>44342</v>
      </c>
      <c r="H495" t="s">
        <v>1538</v>
      </c>
      <c r="I495" t="s">
        <v>39</v>
      </c>
      <c r="J495" t="s">
        <v>25</v>
      </c>
      <c r="K495" t="s">
        <v>26</v>
      </c>
      <c r="L495" t="s">
        <v>59</v>
      </c>
      <c r="M495" t="s">
        <v>34</v>
      </c>
      <c r="N495" t="s">
        <v>140</v>
      </c>
      <c r="O495" s="3"/>
      <c r="Q495" t="s">
        <v>28</v>
      </c>
      <c r="T495" t="s">
        <v>1539</v>
      </c>
      <c r="U495" t="s">
        <v>1513</v>
      </c>
      <c r="V495" t="str">
        <f>_xlfn.XLOOKUP(U495, Mapping!$A$2:$A$48, Mapping!$B$2:$B$48, "Unknown County")</f>
        <v>Rift Valley</v>
      </c>
    </row>
    <row r="496" spans="1:22" x14ac:dyDescent="0.3">
      <c r="A496" t="s">
        <v>1315</v>
      </c>
      <c r="B496" t="s">
        <v>21</v>
      </c>
      <c r="C496" s="3">
        <v>44537</v>
      </c>
      <c r="D496" t="s">
        <v>22</v>
      </c>
      <c r="E496" t="s">
        <v>1540</v>
      </c>
      <c r="F496" s="7"/>
      <c r="H496" t="s">
        <v>1541</v>
      </c>
      <c r="I496" t="s">
        <v>1585</v>
      </c>
      <c r="J496" t="s">
        <v>25</v>
      </c>
      <c r="K496" t="s">
        <v>26</v>
      </c>
      <c r="L496" t="s">
        <v>40</v>
      </c>
      <c r="M496" t="s">
        <v>225</v>
      </c>
      <c r="N496" t="s">
        <v>35</v>
      </c>
      <c r="O496" s="3">
        <v>44545</v>
      </c>
      <c r="Q496" t="s">
        <v>28</v>
      </c>
      <c r="T496" t="s">
        <v>1519</v>
      </c>
      <c r="U496" t="s">
        <v>1513</v>
      </c>
      <c r="V496" t="str">
        <f>_xlfn.XLOOKUP(U496, Mapping!$A$2:$A$48, Mapping!$B$2:$B$48, "Unknown County")</f>
        <v>Rift Valley</v>
      </c>
    </row>
    <row r="497" spans="1:22" x14ac:dyDescent="0.3">
      <c r="A497" t="s">
        <v>1542</v>
      </c>
      <c r="B497" t="s">
        <v>21</v>
      </c>
      <c r="C497" s="3">
        <v>45047</v>
      </c>
      <c r="D497" t="s">
        <v>22</v>
      </c>
      <c r="E497" t="s">
        <v>1543</v>
      </c>
      <c r="F497" s="7"/>
      <c r="G497" s="3">
        <v>45047</v>
      </c>
      <c r="H497" t="s">
        <v>1544</v>
      </c>
      <c r="I497" t="s">
        <v>70</v>
      </c>
      <c r="J497" t="s">
        <v>25</v>
      </c>
      <c r="K497" t="s">
        <v>26</v>
      </c>
      <c r="L497" t="s">
        <v>59</v>
      </c>
      <c r="M497" t="s">
        <v>28</v>
      </c>
      <c r="N497" t="s">
        <v>35</v>
      </c>
      <c r="O497" s="3"/>
      <c r="Q497" t="s">
        <v>28</v>
      </c>
      <c r="T497" t="s">
        <v>1545</v>
      </c>
      <c r="U497" t="s">
        <v>1513</v>
      </c>
      <c r="V497" t="str">
        <f>_xlfn.XLOOKUP(U497, Mapping!$A$2:$A$48, Mapping!$B$2:$B$48, "Unknown County")</f>
        <v>Rift Valley</v>
      </c>
    </row>
    <row r="498" spans="1:22" x14ac:dyDescent="0.3">
      <c r="A498" t="s">
        <v>1546</v>
      </c>
      <c r="B498" t="s">
        <v>63</v>
      </c>
      <c r="C498" s="3">
        <v>45103</v>
      </c>
      <c r="D498" t="s">
        <v>22</v>
      </c>
      <c r="E498" t="s">
        <v>1547</v>
      </c>
      <c r="F498" s="7">
        <v>32</v>
      </c>
      <c r="H498" t="s">
        <v>1548</v>
      </c>
      <c r="I498" t="s">
        <v>70</v>
      </c>
      <c r="J498" t="s">
        <v>25</v>
      </c>
      <c r="K498" t="s">
        <v>302</v>
      </c>
      <c r="L498" t="s">
        <v>33</v>
      </c>
      <c r="M498" t="s">
        <v>1549</v>
      </c>
      <c r="N498" t="s">
        <v>35</v>
      </c>
      <c r="O498" s="3"/>
      <c r="Q498" t="s">
        <v>28</v>
      </c>
      <c r="T498" t="s">
        <v>1550</v>
      </c>
      <c r="U498" t="s">
        <v>1513</v>
      </c>
      <c r="V498" t="str">
        <f>_xlfn.XLOOKUP(U498, Mapping!$A$2:$A$48, Mapping!$B$2:$B$48, "Unknown County")</f>
        <v>Rift Valley</v>
      </c>
    </row>
    <row r="499" spans="1:22" x14ac:dyDescent="0.3">
      <c r="A499" t="s">
        <v>384</v>
      </c>
      <c r="B499" t="s">
        <v>58</v>
      </c>
      <c r="C499" s="3">
        <v>44477</v>
      </c>
      <c r="D499" t="s">
        <v>22</v>
      </c>
      <c r="E499" t="s">
        <v>1551</v>
      </c>
      <c r="F499" s="7"/>
      <c r="H499" t="s">
        <v>1552</v>
      </c>
      <c r="I499" t="s">
        <v>39</v>
      </c>
      <c r="J499" t="s">
        <v>25</v>
      </c>
      <c r="K499" t="s">
        <v>26</v>
      </c>
      <c r="L499" t="s">
        <v>46</v>
      </c>
      <c r="M499" t="s">
        <v>28</v>
      </c>
      <c r="N499" t="s">
        <v>1384</v>
      </c>
      <c r="O499" s="3">
        <v>44532</v>
      </c>
      <c r="Q499" t="s">
        <v>28</v>
      </c>
      <c r="T499" t="s">
        <v>1553</v>
      </c>
      <c r="U499" t="s">
        <v>1513</v>
      </c>
      <c r="V499" t="str">
        <f>_xlfn.XLOOKUP(U499, Mapping!$A$2:$A$48, Mapping!$B$2:$B$48, "Unknown County")</f>
        <v>Rift Valley</v>
      </c>
    </row>
    <row r="500" spans="1:22" x14ac:dyDescent="0.3">
      <c r="A500" t="s">
        <v>1554</v>
      </c>
      <c r="B500" t="s">
        <v>63</v>
      </c>
      <c r="C500" s="3">
        <v>43675</v>
      </c>
      <c r="D500" t="s">
        <v>22</v>
      </c>
      <c r="E500" t="s">
        <v>28</v>
      </c>
      <c r="F500" s="7"/>
      <c r="H500" t="s">
        <v>1555</v>
      </c>
      <c r="I500" t="s">
        <v>39</v>
      </c>
      <c r="J500" t="s">
        <v>25</v>
      </c>
      <c r="K500" t="s">
        <v>26</v>
      </c>
      <c r="L500" t="s">
        <v>33</v>
      </c>
      <c r="M500" t="s">
        <v>28</v>
      </c>
      <c r="N500" t="s">
        <v>140</v>
      </c>
      <c r="O500" s="3"/>
      <c r="Q500" t="s">
        <v>28</v>
      </c>
      <c r="T500" t="s">
        <v>1556</v>
      </c>
      <c r="U500" t="s">
        <v>1557</v>
      </c>
      <c r="V500" t="str">
        <f>_xlfn.XLOOKUP(U500, Mapping!$A$2:$A$48, Mapping!$B$2:$B$48, "Unknown County")</f>
        <v>Western</v>
      </c>
    </row>
    <row r="501" spans="1:22" x14ac:dyDescent="0.3">
      <c r="A501" t="s">
        <v>192</v>
      </c>
      <c r="B501" t="s">
        <v>21</v>
      </c>
      <c r="D501" t="s">
        <v>22</v>
      </c>
      <c r="E501" t="s">
        <v>28</v>
      </c>
      <c r="F501" s="7">
        <v>76</v>
      </c>
      <c r="H501" t="s">
        <v>1558</v>
      </c>
      <c r="I501" t="s">
        <v>82</v>
      </c>
      <c r="J501" t="s">
        <v>83</v>
      </c>
      <c r="K501" t="s">
        <v>71</v>
      </c>
      <c r="L501" t="s">
        <v>40</v>
      </c>
      <c r="M501" t="s">
        <v>1559</v>
      </c>
      <c r="N501" t="s">
        <v>35</v>
      </c>
      <c r="O501" s="3"/>
      <c r="Q501" t="s">
        <v>28</v>
      </c>
      <c r="T501" t="s">
        <v>1560</v>
      </c>
      <c r="U501" t="s">
        <v>1557</v>
      </c>
      <c r="V501" t="str">
        <f>_xlfn.XLOOKUP(U501, Mapping!$A$2:$A$48, Mapping!$B$2:$B$48, "Unknown County")</f>
        <v>Western</v>
      </c>
    </row>
    <row r="502" spans="1:22" x14ac:dyDescent="0.3">
      <c r="A502" t="s">
        <v>30</v>
      </c>
      <c r="B502" t="s">
        <v>31</v>
      </c>
      <c r="C502" s="3">
        <v>45153</v>
      </c>
      <c r="D502" t="s">
        <v>22</v>
      </c>
      <c r="E502" t="s">
        <v>1561</v>
      </c>
      <c r="F502" s="7"/>
      <c r="H502" t="s">
        <v>1562</v>
      </c>
      <c r="I502" t="s">
        <v>70</v>
      </c>
      <c r="J502" t="s">
        <v>88</v>
      </c>
      <c r="K502" t="s">
        <v>84</v>
      </c>
      <c r="L502" t="s">
        <v>59</v>
      </c>
      <c r="M502" t="s">
        <v>1563</v>
      </c>
      <c r="N502" t="s">
        <v>35</v>
      </c>
      <c r="O502" s="3"/>
      <c r="Q502" t="s">
        <v>28</v>
      </c>
      <c r="T502" t="s">
        <v>1564</v>
      </c>
      <c r="U502" t="s">
        <v>1557</v>
      </c>
      <c r="V502" t="str">
        <f>_xlfn.XLOOKUP(U502, Mapping!$A$2:$A$48, Mapping!$B$2:$B$48, "Unknown County")</f>
        <v>Western</v>
      </c>
    </row>
    <row r="503" spans="1:22" x14ac:dyDescent="0.3">
      <c r="A503" t="s">
        <v>1565</v>
      </c>
      <c r="B503" t="s">
        <v>58</v>
      </c>
      <c r="C503" s="3">
        <v>43329</v>
      </c>
      <c r="D503" t="s">
        <v>22</v>
      </c>
      <c r="E503" t="s">
        <v>28</v>
      </c>
      <c r="F503" s="7"/>
      <c r="H503" t="s">
        <v>1566</v>
      </c>
      <c r="I503" t="s">
        <v>39</v>
      </c>
      <c r="J503" t="s">
        <v>25</v>
      </c>
      <c r="K503" t="s">
        <v>26</v>
      </c>
      <c r="L503" t="s">
        <v>59</v>
      </c>
      <c r="M503" t="s">
        <v>34</v>
      </c>
      <c r="N503" t="s">
        <v>35</v>
      </c>
      <c r="O503" s="3"/>
      <c r="Q503" t="s">
        <v>28</v>
      </c>
      <c r="T503" t="s">
        <v>1567</v>
      </c>
      <c r="U503" t="s">
        <v>1568</v>
      </c>
      <c r="V503" t="str">
        <f>_xlfn.XLOOKUP(U503, Mapping!$A$2:$A$48, Mapping!$B$2:$B$48, "Unknown County")</f>
        <v>Rift Valley</v>
      </c>
    </row>
    <row r="504" spans="1:22" x14ac:dyDescent="0.3">
      <c r="A504" t="s">
        <v>1569</v>
      </c>
      <c r="B504" t="s">
        <v>21</v>
      </c>
      <c r="C504" s="3">
        <v>43461</v>
      </c>
      <c r="D504" t="s">
        <v>22</v>
      </c>
      <c r="E504" t="s">
        <v>28</v>
      </c>
      <c r="F504" s="7"/>
      <c r="H504" t="s">
        <v>1570</v>
      </c>
      <c r="I504" t="s">
        <v>39</v>
      </c>
      <c r="J504" t="s">
        <v>25</v>
      </c>
      <c r="K504" t="s">
        <v>26</v>
      </c>
      <c r="L504" t="s">
        <v>59</v>
      </c>
      <c r="M504" t="s">
        <v>34</v>
      </c>
      <c r="N504" t="s">
        <v>35</v>
      </c>
      <c r="O504" s="3"/>
      <c r="Q504" t="s">
        <v>28</v>
      </c>
      <c r="T504" t="s">
        <v>1571</v>
      </c>
      <c r="U504" t="s">
        <v>1568</v>
      </c>
      <c r="V504" t="str">
        <f>_xlfn.XLOOKUP(U504, Mapping!$A$2:$A$48, Mapping!$B$2:$B$48, "Unknown County")</f>
        <v>Rift Valley</v>
      </c>
    </row>
    <row r="505" spans="1:22" x14ac:dyDescent="0.3">
      <c r="A505" t="s">
        <v>1572</v>
      </c>
      <c r="B505" t="s">
        <v>135</v>
      </c>
      <c r="D505" t="s">
        <v>22</v>
      </c>
      <c r="E505" t="s">
        <v>28</v>
      </c>
      <c r="F505" s="7"/>
      <c r="H505" t="s">
        <v>1573</v>
      </c>
      <c r="I505" t="s">
        <v>39</v>
      </c>
      <c r="J505" t="s">
        <v>25</v>
      </c>
      <c r="K505" t="s">
        <v>71</v>
      </c>
      <c r="L505" t="s">
        <v>59</v>
      </c>
      <c r="M505" t="s">
        <v>1574</v>
      </c>
      <c r="N505" t="s">
        <v>28</v>
      </c>
      <c r="O505" s="3"/>
      <c r="Q505" t="s">
        <v>28</v>
      </c>
      <c r="T505" t="s">
        <v>1575</v>
      </c>
      <c r="U505" t="s">
        <v>1568</v>
      </c>
      <c r="V505" t="str">
        <f>_xlfn.XLOOKUP(U505, Mapping!$A$2:$A$48, Mapping!$B$2:$B$48, "Unknown County")</f>
        <v>Rift Valley</v>
      </c>
    </row>
    <row r="506" spans="1:22" x14ac:dyDescent="0.3">
      <c r="A506" t="s">
        <v>1569</v>
      </c>
      <c r="B506" t="s">
        <v>21</v>
      </c>
      <c r="C506" s="3">
        <v>44237</v>
      </c>
      <c r="D506" t="s">
        <v>22</v>
      </c>
      <c r="E506" t="s">
        <v>28</v>
      </c>
      <c r="F506" s="7"/>
      <c r="H506" t="s">
        <v>28</v>
      </c>
      <c r="I506" t="s">
        <v>39</v>
      </c>
      <c r="J506" t="s">
        <v>25</v>
      </c>
      <c r="K506" t="s">
        <v>26</v>
      </c>
      <c r="L506" t="s">
        <v>40</v>
      </c>
      <c r="M506" t="s">
        <v>34</v>
      </c>
      <c r="N506" t="s">
        <v>35</v>
      </c>
      <c r="O506" s="3"/>
      <c r="Q506" t="s">
        <v>28</v>
      </c>
      <c r="T506" t="s">
        <v>1576</v>
      </c>
      <c r="U506" t="s">
        <v>1568</v>
      </c>
      <c r="V506" t="str">
        <f>_xlfn.XLOOKUP(U506, Mapping!$A$2:$A$48, Mapping!$B$2:$B$48, "Unknown County")</f>
        <v>Rift Valley</v>
      </c>
    </row>
    <row r="507" spans="1:22" x14ac:dyDescent="0.3">
      <c r="A507" t="s">
        <v>1565</v>
      </c>
      <c r="B507" t="s">
        <v>58</v>
      </c>
      <c r="C507" s="3">
        <v>44701</v>
      </c>
      <c r="D507" t="s">
        <v>22</v>
      </c>
      <c r="E507" t="s">
        <v>1577</v>
      </c>
      <c r="F507" s="7">
        <v>30</v>
      </c>
      <c r="G507" s="3">
        <v>44701</v>
      </c>
      <c r="H507" t="s">
        <v>1578</v>
      </c>
      <c r="I507" t="s">
        <v>70</v>
      </c>
      <c r="J507" t="s">
        <v>25</v>
      </c>
      <c r="K507" t="s">
        <v>26</v>
      </c>
      <c r="L507" t="s">
        <v>59</v>
      </c>
      <c r="M507" t="s">
        <v>34</v>
      </c>
      <c r="N507" t="s">
        <v>140</v>
      </c>
      <c r="O507" s="3"/>
      <c r="Q507" t="s">
        <v>28</v>
      </c>
      <c r="T507" t="s">
        <v>1579</v>
      </c>
      <c r="U507" t="s">
        <v>1568</v>
      </c>
      <c r="V507" t="str">
        <f>_xlfn.XLOOKUP(U507, Mapping!$A$2:$A$48, Mapping!$B$2:$B$48, "Unknown County")</f>
        <v>Rift Valley</v>
      </c>
    </row>
    <row r="508" spans="1:22" x14ac:dyDescent="0.3">
      <c r="A508" t="s">
        <v>1580</v>
      </c>
      <c r="B508" t="s">
        <v>238</v>
      </c>
      <c r="C508" s="3">
        <v>45160</v>
      </c>
      <c r="D508" t="s">
        <v>22</v>
      </c>
      <c r="E508" t="s">
        <v>1581</v>
      </c>
      <c r="F508" s="7">
        <v>26</v>
      </c>
      <c r="H508" t="s">
        <v>1582</v>
      </c>
      <c r="I508" t="s">
        <v>70</v>
      </c>
      <c r="J508" t="s">
        <v>88</v>
      </c>
      <c r="K508" t="s">
        <v>71</v>
      </c>
      <c r="L508" t="s">
        <v>27</v>
      </c>
      <c r="M508" t="s">
        <v>28</v>
      </c>
      <c r="N508" t="s">
        <v>360</v>
      </c>
      <c r="O508" s="3"/>
      <c r="Q508" t="s">
        <v>28</v>
      </c>
      <c r="T508" t="s">
        <v>1583</v>
      </c>
      <c r="U508" t="s">
        <v>1568</v>
      </c>
      <c r="V508" t="str">
        <f>_xlfn.XLOOKUP(U508, Mapping!$A$2:$A$48, Mapping!$B$2:$B$48, "Unknown County")</f>
        <v>Rift Valley</v>
      </c>
    </row>
    <row r="509" spans="1:22" x14ac:dyDescent="0.3">
      <c r="A509">
        <f>COUNTA(A2:A508)</f>
        <v>507</v>
      </c>
      <c r="F509" s="7">
        <f>COUNTIFS(F2:F508, "&gt; 18", F2:F508, "&lt;&gt;")</f>
        <v>283</v>
      </c>
      <c r="O509" s="3"/>
      <c r="S509" s="7">
        <f>SUBTOTAL(101,new_data[days_to_verdict])/365</f>
        <v>4.9069298952457698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3A758-ED1D-4C2A-AFA5-E26B021C562D}">
  <dimension ref="A3:D14"/>
  <sheetViews>
    <sheetView workbookViewId="0">
      <selection activeCell="A3" sqref="A3"/>
    </sheetView>
  </sheetViews>
  <sheetFormatPr defaultRowHeight="14.4" x14ac:dyDescent="0.3"/>
  <cols>
    <col min="1" max="1" width="21.5546875" bestFit="1" customWidth="1"/>
    <col min="2" max="2" width="15.5546875" bestFit="1" customWidth="1"/>
    <col min="3" max="3" width="12.109375" bestFit="1" customWidth="1"/>
    <col min="4" max="4" width="10.5546875" bestFit="1" customWidth="1"/>
    <col min="5" max="5" width="11.88671875" bestFit="1" customWidth="1"/>
    <col min="6" max="6" width="6.44140625" bestFit="1" customWidth="1"/>
    <col min="7" max="7" width="12.5546875" bestFit="1" customWidth="1"/>
    <col min="8" max="8" width="13.77734375" bestFit="1" customWidth="1"/>
    <col min="9" max="9" width="11.77734375" bestFit="1" customWidth="1"/>
    <col min="10" max="10" width="5.6640625" bestFit="1" customWidth="1"/>
    <col min="11" max="11" width="11.88671875" bestFit="1" customWidth="1"/>
    <col min="12" max="12" width="16.6640625" bestFit="1" customWidth="1"/>
    <col min="13" max="13" width="10.5546875" bestFit="1" customWidth="1"/>
    <col min="14" max="26" width="3" bestFit="1" customWidth="1"/>
    <col min="27" max="27" width="12" bestFit="1" customWidth="1"/>
    <col min="28" max="66" width="3" bestFit="1" customWidth="1"/>
    <col min="67" max="67" width="7" bestFit="1" customWidth="1"/>
    <col min="68" max="68" width="10.5546875" bestFit="1" customWidth="1"/>
  </cols>
  <sheetData>
    <row r="3" spans="1:4" x14ac:dyDescent="0.3">
      <c r="A3" s="8" t="s">
        <v>1590</v>
      </c>
      <c r="B3" s="8" t="s">
        <v>1589</v>
      </c>
    </row>
    <row r="4" spans="1:4" x14ac:dyDescent="0.3">
      <c r="A4" s="8" t="s">
        <v>1587</v>
      </c>
      <c r="B4" t="s">
        <v>25</v>
      </c>
      <c r="C4" t="s">
        <v>83</v>
      </c>
      <c r="D4" t="s">
        <v>1588</v>
      </c>
    </row>
    <row r="5" spans="1:4" x14ac:dyDescent="0.3">
      <c r="A5" s="9" t="s">
        <v>1591</v>
      </c>
      <c r="B5" s="13">
        <v>1</v>
      </c>
      <c r="C5" s="13">
        <v>8</v>
      </c>
      <c r="D5" s="13">
        <v>9</v>
      </c>
    </row>
    <row r="6" spans="1:4" x14ac:dyDescent="0.3">
      <c r="A6" s="9" t="s">
        <v>1592</v>
      </c>
      <c r="B6" s="13">
        <v>69</v>
      </c>
      <c r="C6" s="13">
        <v>13</v>
      </c>
      <c r="D6" s="13">
        <v>82</v>
      </c>
    </row>
    <row r="7" spans="1:4" x14ac:dyDescent="0.3">
      <c r="A7" s="9" t="s">
        <v>1593</v>
      </c>
      <c r="B7" s="13">
        <v>75</v>
      </c>
      <c r="C7" s="13">
        <v>6</v>
      </c>
      <c r="D7" s="13">
        <v>81</v>
      </c>
    </row>
    <row r="8" spans="1:4" x14ac:dyDescent="0.3">
      <c r="A8" s="9" t="s">
        <v>1594</v>
      </c>
      <c r="B8" s="13">
        <v>35</v>
      </c>
      <c r="C8" s="13">
        <v>4</v>
      </c>
      <c r="D8" s="13">
        <v>39</v>
      </c>
    </row>
    <row r="9" spans="1:4" x14ac:dyDescent="0.3">
      <c r="A9" s="9" t="s">
        <v>1595</v>
      </c>
      <c r="B9" s="13">
        <v>9</v>
      </c>
      <c r="C9" s="13"/>
      <c r="D9" s="13">
        <v>9</v>
      </c>
    </row>
    <row r="10" spans="1:4" x14ac:dyDescent="0.3">
      <c r="A10" s="9" t="s">
        <v>1596</v>
      </c>
      <c r="B10" s="13">
        <v>2</v>
      </c>
      <c r="C10" s="13">
        <v>3</v>
      </c>
      <c r="D10" s="13">
        <v>5</v>
      </c>
    </row>
    <row r="11" spans="1:4" x14ac:dyDescent="0.3">
      <c r="A11" s="9" t="s">
        <v>1597</v>
      </c>
      <c r="B11" s="13">
        <v>1</v>
      </c>
      <c r="C11" s="13">
        <v>5</v>
      </c>
      <c r="D11" s="13">
        <v>6</v>
      </c>
    </row>
    <row r="12" spans="1:4" x14ac:dyDescent="0.3">
      <c r="A12" s="9" t="s">
        <v>1598</v>
      </c>
      <c r="B12" s="13"/>
      <c r="C12" s="13">
        <v>6</v>
      </c>
      <c r="D12" s="13">
        <v>6</v>
      </c>
    </row>
    <row r="13" spans="1:4" x14ac:dyDescent="0.3">
      <c r="A13" s="9" t="s">
        <v>1599</v>
      </c>
      <c r="B13" s="13"/>
      <c r="C13" s="13">
        <v>2</v>
      </c>
      <c r="D13" s="13">
        <v>2</v>
      </c>
    </row>
    <row r="14" spans="1:4" x14ac:dyDescent="0.3">
      <c r="A14" s="9" t="s">
        <v>1588</v>
      </c>
      <c r="B14" s="13">
        <v>192</v>
      </c>
      <c r="C14" s="13">
        <v>47</v>
      </c>
      <c r="D14" s="13">
        <v>239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D0503-AF12-4978-B9E1-3D850CC6C1E3}">
  <dimension ref="A3:B10"/>
  <sheetViews>
    <sheetView workbookViewId="0">
      <selection activeCell="M20" sqref="M20"/>
    </sheetView>
  </sheetViews>
  <sheetFormatPr defaultRowHeight="14.4" x14ac:dyDescent="0.3"/>
  <cols>
    <col min="1" max="1" width="12.44140625" bestFit="1" customWidth="1"/>
    <col min="2" max="2" width="21.33203125" bestFit="1" customWidth="1"/>
    <col min="3" max="3" width="11.77734375" bestFit="1" customWidth="1"/>
    <col min="4" max="4" width="5.6640625" bestFit="1" customWidth="1"/>
    <col min="5" max="5" width="11.88671875" bestFit="1" customWidth="1"/>
    <col min="6" max="6" width="6.44140625" bestFit="1" customWidth="1"/>
    <col min="7" max="7" width="10" bestFit="1" customWidth="1"/>
    <col min="8" max="8" width="7" bestFit="1" customWidth="1"/>
    <col min="9" max="9" width="10.5546875" bestFit="1" customWidth="1"/>
    <col min="10" max="10" width="21.5546875" bestFit="1" customWidth="1"/>
    <col min="11" max="11" width="21.33203125" bestFit="1" customWidth="1"/>
    <col min="12" max="12" width="21.5546875" bestFit="1" customWidth="1"/>
    <col min="13" max="13" width="21.33203125" bestFit="1" customWidth="1"/>
    <col min="14" max="14" width="21.5546875" bestFit="1" customWidth="1"/>
    <col min="15" max="15" width="21.33203125" bestFit="1" customWidth="1"/>
    <col min="16" max="16" width="26.109375" bestFit="1" customWidth="1"/>
    <col min="17" max="17" width="25.88671875" bestFit="1" customWidth="1"/>
    <col min="18" max="18" width="7.44140625" bestFit="1" customWidth="1"/>
    <col min="19" max="19" width="4.88671875" bestFit="1" customWidth="1"/>
    <col min="20" max="20" width="8.6640625" bestFit="1" customWidth="1"/>
    <col min="21" max="21" width="4.6640625" bestFit="1" customWidth="1"/>
    <col min="22" max="22" width="7.21875" bestFit="1" customWidth="1"/>
    <col min="23" max="23" width="4.88671875" bestFit="1" customWidth="1"/>
    <col min="24" max="24" width="6" bestFit="1" customWidth="1"/>
    <col min="25" max="25" width="7.6640625" bestFit="1" customWidth="1"/>
    <col min="26" max="26" width="5.5546875" bestFit="1" customWidth="1"/>
    <col min="27" max="27" width="9.33203125" bestFit="1" customWidth="1"/>
    <col min="28" max="28" width="8" bestFit="1" customWidth="1"/>
    <col min="29" max="29" width="8.21875" bestFit="1" customWidth="1"/>
    <col min="30" max="30" width="8.33203125" bestFit="1" customWidth="1"/>
    <col min="31" max="31" width="5.109375" bestFit="1" customWidth="1"/>
    <col min="32" max="32" width="6.109375" bestFit="1" customWidth="1"/>
    <col min="33" max="33" width="9.109375" bestFit="1" customWidth="1"/>
    <col min="34" max="34" width="8" bestFit="1" customWidth="1"/>
    <col min="35" max="35" width="7.21875" bestFit="1" customWidth="1"/>
    <col min="36" max="36" width="8.6640625" bestFit="1" customWidth="1"/>
    <col min="37" max="37" width="7" bestFit="1" customWidth="1"/>
    <col min="38" max="38" width="6" bestFit="1" customWidth="1"/>
    <col min="39" max="39" width="7.77734375" bestFit="1" customWidth="1"/>
    <col min="40" max="40" width="6" bestFit="1" customWidth="1"/>
    <col min="41" max="41" width="11.77734375" bestFit="1" customWidth="1"/>
    <col min="42" max="42" width="8.109375" bestFit="1" customWidth="1"/>
    <col min="43" max="43" width="10" bestFit="1" customWidth="1"/>
    <col min="44" max="44" width="5.44140625" bestFit="1" customWidth="1"/>
    <col min="45" max="45" width="5.5546875" bestFit="1" customWidth="1"/>
    <col min="46" max="46" width="10.88671875" bestFit="1" customWidth="1"/>
    <col min="47" max="47" width="9.44140625" bestFit="1" customWidth="1"/>
    <col min="48" max="48" width="12" bestFit="1" customWidth="1"/>
    <col min="49" max="49" width="9.6640625" bestFit="1" customWidth="1"/>
    <col min="50" max="50" width="10.5546875" bestFit="1" customWidth="1"/>
    <col min="51" max="51" width="7.5546875" bestFit="1" customWidth="1"/>
    <col min="52" max="52" width="10.77734375" bestFit="1" customWidth="1"/>
    <col min="53" max="53" width="6.109375" bestFit="1" customWidth="1"/>
    <col min="54" max="54" width="10.33203125" bestFit="1" customWidth="1"/>
    <col min="55" max="55" width="7" bestFit="1" customWidth="1"/>
    <col min="56" max="56" width="10.5546875" bestFit="1" customWidth="1"/>
  </cols>
  <sheetData>
    <row r="3" spans="1:2" x14ac:dyDescent="0.3">
      <c r="A3" s="8" t="s">
        <v>1587</v>
      </c>
      <c r="B3" t="s">
        <v>1600</v>
      </c>
    </row>
    <row r="4" spans="1:2" x14ac:dyDescent="0.3">
      <c r="A4" s="9" t="s">
        <v>26</v>
      </c>
      <c r="B4" s="13">
        <v>298</v>
      </c>
    </row>
    <row r="5" spans="1:2" x14ac:dyDescent="0.3">
      <c r="A5" s="9" t="s">
        <v>28</v>
      </c>
      <c r="B5" s="13">
        <v>6</v>
      </c>
    </row>
    <row r="6" spans="1:2" x14ac:dyDescent="0.3">
      <c r="A6" s="9" t="s">
        <v>302</v>
      </c>
      <c r="B6" s="13">
        <v>10</v>
      </c>
    </row>
    <row r="7" spans="1:2" x14ac:dyDescent="0.3">
      <c r="A7" s="9" t="s">
        <v>84</v>
      </c>
      <c r="B7" s="13">
        <v>79</v>
      </c>
    </row>
    <row r="8" spans="1:2" x14ac:dyDescent="0.3">
      <c r="A8" s="9" t="s">
        <v>106</v>
      </c>
      <c r="B8" s="13">
        <v>3</v>
      </c>
    </row>
    <row r="9" spans="1:2" x14ac:dyDescent="0.3">
      <c r="A9" s="9" t="s">
        <v>395</v>
      </c>
      <c r="B9" s="13">
        <v>2</v>
      </c>
    </row>
    <row r="10" spans="1:2" x14ac:dyDescent="0.3">
      <c r="A10" s="9" t="s">
        <v>1588</v>
      </c>
      <c r="B10" s="13">
        <v>398</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26CA5-DF91-480C-B76E-4128AA3FB443}">
  <dimension ref="A3:B45"/>
  <sheetViews>
    <sheetView workbookViewId="0">
      <selection activeCell="B7" sqref="B7"/>
    </sheetView>
  </sheetViews>
  <sheetFormatPr defaultRowHeight="14.4" x14ac:dyDescent="0.3"/>
  <cols>
    <col min="1" max="1" width="62" bestFit="1" customWidth="1"/>
    <col min="2" max="2" width="21.5546875" bestFit="1" customWidth="1"/>
    <col min="3" max="3" width="10.44140625" bestFit="1" customWidth="1"/>
    <col min="4" max="4" width="50.44140625" bestFit="1" customWidth="1"/>
    <col min="5" max="5" width="9" bestFit="1" customWidth="1"/>
    <col min="6" max="6" width="28.33203125" bestFit="1" customWidth="1"/>
    <col min="7" max="7" width="7.88671875" bestFit="1" customWidth="1"/>
    <col min="8" max="8" width="45.5546875" bestFit="1" customWidth="1"/>
    <col min="9" max="9" width="19.33203125" bestFit="1" customWidth="1"/>
    <col min="10" max="10" width="64.44140625" bestFit="1" customWidth="1"/>
    <col min="11" max="11" width="10" bestFit="1" customWidth="1"/>
    <col min="12" max="12" width="17.33203125" bestFit="1" customWidth="1"/>
    <col min="13" max="13" width="23.77734375" bestFit="1" customWidth="1"/>
    <col min="14" max="14" width="7.21875" bestFit="1" customWidth="1"/>
    <col min="15" max="15" width="16.88671875" bestFit="1" customWidth="1"/>
    <col min="16" max="16" width="17.33203125" bestFit="1" customWidth="1"/>
    <col min="17" max="17" width="12.88671875" bestFit="1" customWidth="1"/>
    <col min="18" max="18" width="15.44140625" bestFit="1" customWidth="1"/>
    <col min="19" max="19" width="33.44140625" bestFit="1" customWidth="1"/>
    <col min="20" max="20" width="14.88671875" bestFit="1" customWidth="1"/>
    <col min="21" max="21" width="15.88671875" bestFit="1" customWidth="1"/>
    <col min="22" max="22" width="5.88671875" bestFit="1" customWidth="1"/>
    <col min="23" max="23" width="13.44140625" bestFit="1" customWidth="1"/>
    <col min="24" max="24" width="49.109375" bestFit="1" customWidth="1"/>
    <col min="25" max="25" width="7.88671875" bestFit="1" customWidth="1"/>
    <col min="26" max="26" width="12.5546875" bestFit="1" customWidth="1"/>
    <col min="27" max="27" width="48.5546875" bestFit="1" customWidth="1"/>
    <col min="28" max="28" width="23.5546875" bestFit="1" customWidth="1"/>
    <col min="29" max="29" width="11.77734375" bestFit="1" customWidth="1"/>
    <col min="30" max="30" width="14.77734375" bestFit="1" customWidth="1"/>
    <col min="31" max="31" width="6.5546875" bestFit="1" customWidth="1"/>
    <col min="32" max="32" width="20.33203125" bestFit="1" customWidth="1"/>
    <col min="33" max="33" width="7.21875" bestFit="1" customWidth="1"/>
    <col min="34" max="34" width="22.77734375" bestFit="1" customWidth="1"/>
    <col min="35" max="35" width="26.21875" bestFit="1" customWidth="1"/>
    <col min="36" max="36" width="59.109375" bestFit="1" customWidth="1"/>
    <col min="37" max="37" width="7.88671875" bestFit="1" customWidth="1"/>
    <col min="38" max="38" width="18.88671875" bestFit="1" customWidth="1"/>
    <col min="39" max="39" width="61" bestFit="1" customWidth="1"/>
    <col min="40" max="40" width="42.21875" bestFit="1" customWidth="1"/>
    <col min="41" max="41" width="39.88671875" bestFit="1" customWidth="1"/>
    <col min="42" max="42" width="7.33203125" bestFit="1" customWidth="1"/>
    <col min="43" max="43" width="61.77734375" bestFit="1" customWidth="1"/>
    <col min="44" max="44" width="15.33203125" bestFit="1" customWidth="1"/>
    <col min="45" max="45" width="18.44140625" bestFit="1" customWidth="1"/>
    <col min="46" max="46" width="7" bestFit="1" customWidth="1"/>
    <col min="47" max="47" width="10.5546875" bestFit="1" customWidth="1"/>
  </cols>
  <sheetData>
    <row r="3" spans="1:2" x14ac:dyDescent="0.3">
      <c r="A3" s="8" t="s">
        <v>1587</v>
      </c>
      <c r="B3" t="s">
        <v>1590</v>
      </c>
    </row>
    <row r="4" spans="1:2" x14ac:dyDescent="0.3">
      <c r="A4" s="9" t="s">
        <v>355</v>
      </c>
      <c r="B4" s="13">
        <v>1</v>
      </c>
    </row>
    <row r="5" spans="1:2" x14ac:dyDescent="0.3">
      <c r="A5" s="9" t="s">
        <v>402</v>
      </c>
      <c r="B5" s="13">
        <v>1</v>
      </c>
    </row>
    <row r="6" spans="1:2" x14ac:dyDescent="0.3">
      <c r="A6" s="9" t="s">
        <v>623</v>
      </c>
      <c r="B6" s="13">
        <v>1</v>
      </c>
    </row>
    <row r="7" spans="1:2" x14ac:dyDescent="0.3">
      <c r="A7" s="9" t="s">
        <v>34</v>
      </c>
      <c r="B7" s="13">
        <v>156</v>
      </c>
    </row>
    <row r="8" spans="1:2" x14ac:dyDescent="0.3">
      <c r="A8" s="9" t="s">
        <v>1549</v>
      </c>
      <c r="B8" s="13">
        <v>1</v>
      </c>
    </row>
    <row r="9" spans="1:2" x14ac:dyDescent="0.3">
      <c r="A9" s="9" t="s">
        <v>225</v>
      </c>
      <c r="B9" s="13">
        <v>13</v>
      </c>
    </row>
    <row r="10" spans="1:2" x14ac:dyDescent="0.3">
      <c r="A10" s="9" t="s">
        <v>521</v>
      </c>
      <c r="B10" s="13">
        <v>1</v>
      </c>
    </row>
    <row r="11" spans="1:2" x14ac:dyDescent="0.3">
      <c r="A11" s="9" t="s">
        <v>531</v>
      </c>
      <c r="B11" s="13">
        <v>1</v>
      </c>
    </row>
    <row r="12" spans="1:2" x14ac:dyDescent="0.3">
      <c r="A12" s="9" t="s">
        <v>699</v>
      </c>
      <c r="B12" s="13">
        <v>1</v>
      </c>
    </row>
    <row r="13" spans="1:2" x14ac:dyDescent="0.3">
      <c r="A13" s="9" t="s">
        <v>964</v>
      </c>
      <c r="B13" s="13">
        <v>2</v>
      </c>
    </row>
    <row r="14" spans="1:2" x14ac:dyDescent="0.3">
      <c r="A14" s="9" t="s">
        <v>1435</v>
      </c>
      <c r="B14" s="13">
        <v>1</v>
      </c>
    </row>
    <row r="15" spans="1:2" x14ac:dyDescent="0.3">
      <c r="A15" s="9" t="s">
        <v>342</v>
      </c>
      <c r="B15" s="13">
        <v>1</v>
      </c>
    </row>
    <row r="16" spans="1:2" x14ac:dyDescent="0.3">
      <c r="A16" s="9" t="s">
        <v>216</v>
      </c>
      <c r="B16" s="13">
        <v>2</v>
      </c>
    </row>
    <row r="17" spans="1:2" x14ac:dyDescent="0.3">
      <c r="A17" s="9" t="s">
        <v>73</v>
      </c>
      <c r="B17" s="13">
        <v>1</v>
      </c>
    </row>
    <row r="18" spans="1:2" x14ac:dyDescent="0.3">
      <c r="A18" s="9" t="s">
        <v>1138</v>
      </c>
      <c r="B18" s="13">
        <v>1</v>
      </c>
    </row>
    <row r="19" spans="1:2" x14ac:dyDescent="0.3">
      <c r="A19" s="9" t="s">
        <v>1128</v>
      </c>
      <c r="B19" s="13">
        <v>1</v>
      </c>
    </row>
    <row r="20" spans="1:2" x14ac:dyDescent="0.3">
      <c r="A20" s="9" t="s">
        <v>664</v>
      </c>
      <c r="B20" s="13">
        <v>2</v>
      </c>
    </row>
    <row r="21" spans="1:2" x14ac:dyDescent="0.3">
      <c r="A21" s="9" t="s">
        <v>619</v>
      </c>
      <c r="B21" s="13">
        <v>1</v>
      </c>
    </row>
    <row r="22" spans="1:2" x14ac:dyDescent="0.3">
      <c r="A22" s="9" t="s">
        <v>1432</v>
      </c>
      <c r="B22" s="13">
        <v>1</v>
      </c>
    </row>
    <row r="23" spans="1:2" x14ac:dyDescent="0.3">
      <c r="A23" s="9" t="s">
        <v>89</v>
      </c>
      <c r="B23" s="13">
        <v>1</v>
      </c>
    </row>
    <row r="24" spans="1:2" x14ac:dyDescent="0.3">
      <c r="A24" s="9" t="s">
        <v>542</v>
      </c>
      <c r="B24" s="13">
        <v>5</v>
      </c>
    </row>
    <row r="25" spans="1:2" x14ac:dyDescent="0.3">
      <c r="A25" s="9" t="s">
        <v>1574</v>
      </c>
      <c r="B25" s="13">
        <v>1</v>
      </c>
    </row>
    <row r="26" spans="1:2" x14ac:dyDescent="0.3">
      <c r="A26" s="9" t="s">
        <v>252</v>
      </c>
      <c r="B26" s="13">
        <v>1</v>
      </c>
    </row>
    <row r="27" spans="1:2" x14ac:dyDescent="0.3">
      <c r="A27" s="9" t="s">
        <v>60</v>
      </c>
      <c r="B27" s="13">
        <v>50</v>
      </c>
    </row>
    <row r="28" spans="1:2" x14ac:dyDescent="0.3">
      <c r="A28" s="9" t="s">
        <v>1163</v>
      </c>
      <c r="B28" s="13">
        <v>1</v>
      </c>
    </row>
    <row r="29" spans="1:2" x14ac:dyDescent="0.3">
      <c r="A29" s="9" t="s">
        <v>359</v>
      </c>
      <c r="B29" s="13">
        <v>1</v>
      </c>
    </row>
    <row r="30" spans="1:2" x14ac:dyDescent="0.3">
      <c r="A30" s="9" t="s">
        <v>1503</v>
      </c>
      <c r="B30" s="13">
        <v>1</v>
      </c>
    </row>
    <row r="31" spans="1:2" x14ac:dyDescent="0.3">
      <c r="A31" s="9" t="s">
        <v>95</v>
      </c>
      <c r="B31" s="13">
        <v>5</v>
      </c>
    </row>
    <row r="32" spans="1:2" x14ac:dyDescent="0.3">
      <c r="A32" s="9" t="s">
        <v>886</v>
      </c>
      <c r="B32" s="13">
        <v>1</v>
      </c>
    </row>
    <row r="33" spans="1:2" x14ac:dyDescent="0.3">
      <c r="A33" s="9" t="s">
        <v>505</v>
      </c>
      <c r="B33" s="13">
        <v>6</v>
      </c>
    </row>
    <row r="34" spans="1:2" x14ac:dyDescent="0.3">
      <c r="A34" s="9" t="s">
        <v>576</v>
      </c>
      <c r="B34" s="13">
        <v>1</v>
      </c>
    </row>
    <row r="35" spans="1:2" x14ac:dyDescent="0.3">
      <c r="A35" s="9" t="s">
        <v>942</v>
      </c>
      <c r="B35" s="13">
        <v>1</v>
      </c>
    </row>
    <row r="36" spans="1:2" x14ac:dyDescent="0.3">
      <c r="A36" s="9" t="s">
        <v>1563</v>
      </c>
      <c r="B36" s="13">
        <v>1</v>
      </c>
    </row>
    <row r="37" spans="1:2" x14ac:dyDescent="0.3">
      <c r="A37" s="9" t="s">
        <v>1559</v>
      </c>
      <c r="B37" s="13">
        <v>1</v>
      </c>
    </row>
    <row r="38" spans="1:2" x14ac:dyDescent="0.3">
      <c r="A38" s="9" t="s">
        <v>1153</v>
      </c>
      <c r="B38" s="13">
        <v>1</v>
      </c>
    </row>
    <row r="39" spans="1:2" x14ac:dyDescent="0.3">
      <c r="A39" s="9" t="s">
        <v>937</v>
      </c>
      <c r="B39" s="13">
        <v>1</v>
      </c>
    </row>
    <row r="40" spans="1:2" x14ac:dyDescent="0.3">
      <c r="A40" s="9" t="s">
        <v>1255</v>
      </c>
      <c r="B40" s="13">
        <v>1</v>
      </c>
    </row>
    <row r="41" spans="1:2" x14ac:dyDescent="0.3">
      <c r="A41" s="9" t="s">
        <v>379</v>
      </c>
      <c r="B41" s="13">
        <v>2</v>
      </c>
    </row>
    <row r="42" spans="1:2" x14ac:dyDescent="0.3">
      <c r="A42" s="9" t="s">
        <v>1331</v>
      </c>
      <c r="B42" s="13">
        <v>1</v>
      </c>
    </row>
    <row r="43" spans="1:2" x14ac:dyDescent="0.3">
      <c r="A43" s="9" t="s">
        <v>900</v>
      </c>
      <c r="B43" s="13">
        <v>1</v>
      </c>
    </row>
    <row r="44" spans="1:2" x14ac:dyDescent="0.3">
      <c r="A44" s="9" t="s">
        <v>306</v>
      </c>
      <c r="B44" s="13">
        <v>1</v>
      </c>
    </row>
    <row r="45" spans="1:2" x14ac:dyDescent="0.3">
      <c r="A45" s="9" t="s">
        <v>1588</v>
      </c>
      <c r="B45" s="13">
        <v>274</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50521-50DE-4ACC-87DF-BAEE7625E696}">
  <dimension ref="A3:B12"/>
  <sheetViews>
    <sheetView workbookViewId="0">
      <selection activeCell="P7" sqref="P7"/>
    </sheetView>
  </sheetViews>
  <sheetFormatPr defaultRowHeight="14.4" x14ac:dyDescent="0.3"/>
  <cols>
    <col min="1" max="1" width="13.33203125" bestFit="1" customWidth="1"/>
    <col min="2" max="2" width="21.33203125" bestFit="1" customWidth="1"/>
  </cols>
  <sheetData>
    <row r="3" spans="1:2" x14ac:dyDescent="0.3">
      <c r="A3" s="8" t="s">
        <v>1587</v>
      </c>
      <c r="B3" t="s">
        <v>1600</v>
      </c>
    </row>
    <row r="4" spans="1:2" x14ac:dyDescent="0.3">
      <c r="A4" s="9" t="s">
        <v>70</v>
      </c>
      <c r="B4" s="13">
        <v>105</v>
      </c>
    </row>
    <row r="5" spans="1:2" x14ac:dyDescent="0.3">
      <c r="A5" s="9" t="s">
        <v>1585</v>
      </c>
      <c r="B5" s="13">
        <v>14</v>
      </c>
    </row>
    <row r="6" spans="1:2" x14ac:dyDescent="0.3">
      <c r="A6" s="9" t="s">
        <v>1584</v>
      </c>
      <c r="B6" s="13">
        <v>16</v>
      </c>
    </row>
    <row r="7" spans="1:2" x14ac:dyDescent="0.3">
      <c r="A7" s="9" t="s">
        <v>94</v>
      </c>
      <c r="B7" s="13">
        <v>13</v>
      </c>
    </row>
    <row r="8" spans="1:2" x14ac:dyDescent="0.3">
      <c r="A8" s="9" t="s">
        <v>186</v>
      </c>
      <c r="B8" s="13">
        <v>22</v>
      </c>
    </row>
    <row r="9" spans="1:2" x14ac:dyDescent="0.3">
      <c r="A9" s="9" t="s">
        <v>39</v>
      </c>
      <c r="B9" s="13">
        <v>191</v>
      </c>
    </row>
    <row r="10" spans="1:2" x14ac:dyDescent="0.3">
      <c r="A10" s="9" t="s">
        <v>28</v>
      </c>
      <c r="B10" s="13">
        <v>2</v>
      </c>
    </row>
    <row r="11" spans="1:2" x14ac:dyDescent="0.3">
      <c r="A11" s="9" t="s">
        <v>82</v>
      </c>
      <c r="B11" s="13">
        <v>35</v>
      </c>
    </row>
    <row r="12" spans="1:2" x14ac:dyDescent="0.3">
      <c r="A12" s="9" t="s">
        <v>1588</v>
      </c>
      <c r="B12" s="13">
        <v>398</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E6386-4FE8-44EC-9259-017B7062CEE8}">
  <dimension ref="A4:B13"/>
  <sheetViews>
    <sheetView workbookViewId="0">
      <selection activeCell="C18" sqref="C18"/>
    </sheetView>
  </sheetViews>
  <sheetFormatPr defaultRowHeight="14.4" x14ac:dyDescent="0.3"/>
  <cols>
    <col min="1" max="1" width="12.44140625" bestFit="1" customWidth="1"/>
    <col min="2" max="3" width="21.33203125" bestFit="1" customWidth="1"/>
    <col min="4" max="5" width="7.21875" bestFit="1" customWidth="1"/>
    <col min="6" max="6" width="12.21875" bestFit="1" customWidth="1"/>
    <col min="7" max="7" width="7.109375" bestFit="1" customWidth="1"/>
    <col min="8" max="8" width="9.33203125" bestFit="1" customWidth="1"/>
    <col min="9" max="9" width="7.88671875" bestFit="1" customWidth="1"/>
    <col min="10" max="10" width="10.5546875" bestFit="1" customWidth="1"/>
    <col min="11" max="11" width="7.33203125" bestFit="1" customWidth="1"/>
    <col min="12" max="12" width="9.6640625" bestFit="1" customWidth="1"/>
    <col min="13" max="13" width="7.33203125" bestFit="1" customWidth="1"/>
    <col min="14" max="14" width="7.44140625" bestFit="1" customWidth="1"/>
    <col min="15" max="15" width="4.88671875" bestFit="1" customWidth="1"/>
    <col min="16" max="16" width="8.6640625" bestFit="1" customWidth="1"/>
    <col min="17" max="17" width="4.6640625" bestFit="1" customWidth="1"/>
    <col min="18" max="18" width="7.21875" bestFit="1" customWidth="1"/>
    <col min="19" max="19" width="4.88671875" bestFit="1" customWidth="1"/>
    <col min="20" max="20" width="6" bestFit="1" customWidth="1"/>
    <col min="21" max="21" width="7.6640625" bestFit="1" customWidth="1"/>
    <col min="22" max="22" width="5.5546875" bestFit="1" customWidth="1"/>
    <col min="23" max="23" width="9.33203125" bestFit="1" customWidth="1"/>
    <col min="24" max="24" width="8" bestFit="1" customWidth="1"/>
    <col min="25" max="25" width="8.21875" bestFit="1" customWidth="1"/>
    <col min="26" max="26" width="8.33203125" bestFit="1" customWidth="1"/>
    <col min="27" max="27" width="5.109375" bestFit="1" customWidth="1"/>
    <col min="28" max="28" width="6.109375" bestFit="1" customWidth="1"/>
    <col min="29" max="29" width="9.109375" bestFit="1" customWidth="1"/>
    <col min="30" max="30" width="8.44140625" bestFit="1" customWidth="1"/>
    <col min="31" max="31" width="7.21875" bestFit="1" customWidth="1"/>
    <col min="32" max="32" width="7" bestFit="1" customWidth="1"/>
    <col min="33" max="34" width="6" bestFit="1" customWidth="1"/>
    <col min="35" max="35" width="8.109375" bestFit="1" customWidth="1"/>
    <col min="36" max="36" width="10" bestFit="1" customWidth="1"/>
    <col min="37" max="37" width="5.44140625" bestFit="1" customWidth="1"/>
    <col min="38" max="38" width="5.5546875" bestFit="1" customWidth="1"/>
    <col min="39" max="39" width="10.88671875" bestFit="1" customWidth="1"/>
    <col min="40" max="40" width="9.44140625" bestFit="1" customWidth="1"/>
    <col min="41" max="41" width="12.33203125" bestFit="1" customWidth="1"/>
    <col min="42" max="42" width="10.5546875" bestFit="1" customWidth="1"/>
    <col min="43" max="43" width="7.5546875" bestFit="1" customWidth="1"/>
    <col min="44" max="44" width="10.77734375" bestFit="1" customWidth="1"/>
    <col min="45" max="45" width="6.109375" bestFit="1" customWidth="1"/>
    <col min="46" max="46" width="10.33203125" bestFit="1" customWidth="1"/>
    <col min="47" max="47" width="10.5546875" bestFit="1" customWidth="1"/>
  </cols>
  <sheetData>
    <row r="4" spans="1:2" x14ac:dyDescent="0.3">
      <c r="A4" s="8" t="s">
        <v>1587</v>
      </c>
      <c r="B4" t="s">
        <v>1600</v>
      </c>
    </row>
    <row r="5" spans="1:2" x14ac:dyDescent="0.3">
      <c r="A5" s="9" t="s">
        <v>1606</v>
      </c>
      <c r="B5" s="13">
        <v>95</v>
      </c>
    </row>
    <row r="6" spans="1:2" x14ac:dyDescent="0.3">
      <c r="A6" s="9" t="s">
        <v>1601</v>
      </c>
      <c r="B6" s="13">
        <v>23</v>
      </c>
    </row>
    <row r="7" spans="1:2" x14ac:dyDescent="0.3">
      <c r="A7" s="9" t="s">
        <v>1604</v>
      </c>
      <c r="B7" s="13">
        <v>58</v>
      </c>
    </row>
    <row r="8" spans="1:2" x14ac:dyDescent="0.3">
      <c r="A8" s="9" t="s">
        <v>948</v>
      </c>
      <c r="B8" s="13">
        <v>75</v>
      </c>
    </row>
    <row r="9" spans="1:2" x14ac:dyDescent="0.3">
      <c r="A9" s="9" t="s">
        <v>1602</v>
      </c>
      <c r="B9" s="13">
        <v>3</v>
      </c>
    </row>
    <row r="10" spans="1:2" x14ac:dyDescent="0.3">
      <c r="A10" s="9" t="s">
        <v>1611</v>
      </c>
      <c r="B10" s="13">
        <v>61</v>
      </c>
    </row>
    <row r="11" spans="1:2" x14ac:dyDescent="0.3">
      <c r="A11" s="9" t="s">
        <v>1608</v>
      </c>
      <c r="B11" s="13">
        <v>152</v>
      </c>
    </row>
    <row r="12" spans="1:2" x14ac:dyDescent="0.3">
      <c r="A12" s="9" t="s">
        <v>1610</v>
      </c>
      <c r="B12" s="13">
        <v>35</v>
      </c>
    </row>
    <row r="13" spans="1:2" x14ac:dyDescent="0.3">
      <c r="A13" s="9" t="s">
        <v>1588</v>
      </c>
      <c r="B13" s="13">
        <v>502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E4ECA-7CC3-43DF-B9C2-C054386F3EB1}">
  <dimension ref="A3:B7"/>
  <sheetViews>
    <sheetView workbookViewId="0">
      <selection activeCell="B5" sqref="B5"/>
    </sheetView>
  </sheetViews>
  <sheetFormatPr defaultRowHeight="14.4" x14ac:dyDescent="0.3"/>
  <cols>
    <col min="1" max="1" width="12.44140625" bestFit="1" customWidth="1"/>
    <col min="2" max="2" width="19.109375" bestFit="1" customWidth="1"/>
    <col min="3" max="3" width="5.5546875" bestFit="1" customWidth="1"/>
    <col min="4" max="4" width="9.33203125" bestFit="1" customWidth="1"/>
    <col min="5" max="5" width="11.77734375" bestFit="1" customWidth="1"/>
    <col min="6" max="6" width="10.5546875" bestFit="1" customWidth="1"/>
  </cols>
  <sheetData>
    <row r="3" spans="1:2" x14ac:dyDescent="0.3">
      <c r="A3" s="8" t="s">
        <v>1587</v>
      </c>
      <c r="B3" t="s">
        <v>1614</v>
      </c>
    </row>
    <row r="4" spans="1:2" x14ac:dyDescent="0.3">
      <c r="A4" s="9" t="s">
        <v>253</v>
      </c>
      <c r="B4" s="13">
        <v>1</v>
      </c>
    </row>
    <row r="5" spans="1:2" x14ac:dyDescent="0.3">
      <c r="A5" s="9" t="s">
        <v>29</v>
      </c>
      <c r="B5" s="13">
        <v>32</v>
      </c>
    </row>
    <row r="6" spans="1:2" x14ac:dyDescent="0.3">
      <c r="A6" s="9" t="s">
        <v>54</v>
      </c>
      <c r="B6" s="13">
        <v>3</v>
      </c>
    </row>
    <row r="7" spans="1:2" x14ac:dyDescent="0.3">
      <c r="A7" s="9" t="s">
        <v>1588</v>
      </c>
      <c r="B7" s="13">
        <v>36</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14ED1-64D5-481C-A213-544183DC3555}">
  <dimension ref="A3:B13"/>
  <sheetViews>
    <sheetView workbookViewId="0">
      <selection activeCell="L24" sqref="L24"/>
    </sheetView>
  </sheetViews>
  <sheetFormatPr defaultRowHeight="14.4" x14ac:dyDescent="0.3"/>
  <cols>
    <col min="1" max="1" width="13" bestFit="1" customWidth="1"/>
    <col min="2" max="2" width="21.33203125" bestFit="1" customWidth="1"/>
    <col min="3" max="3" width="10.5546875" bestFit="1" customWidth="1"/>
  </cols>
  <sheetData>
    <row r="3" spans="1:2" x14ac:dyDescent="0.3">
      <c r="A3" s="8" t="s">
        <v>1587</v>
      </c>
      <c r="B3" t="s">
        <v>1600</v>
      </c>
    </row>
    <row r="4" spans="1:2" x14ac:dyDescent="0.3">
      <c r="A4" s="9" t="s">
        <v>1615</v>
      </c>
      <c r="B4" s="13">
        <v>38</v>
      </c>
    </row>
    <row r="5" spans="1:2" x14ac:dyDescent="0.3">
      <c r="A5" s="9" t="s">
        <v>1616</v>
      </c>
      <c r="B5" s="13">
        <v>23</v>
      </c>
    </row>
    <row r="6" spans="1:2" x14ac:dyDescent="0.3">
      <c r="A6" s="9" t="s">
        <v>1617</v>
      </c>
      <c r="B6" s="13">
        <v>48</v>
      </c>
    </row>
    <row r="7" spans="1:2" x14ac:dyDescent="0.3">
      <c r="A7" s="9" t="s">
        <v>1618</v>
      </c>
      <c r="B7" s="13">
        <v>95</v>
      </c>
    </row>
    <row r="8" spans="1:2" x14ac:dyDescent="0.3">
      <c r="A8" s="9" t="s">
        <v>1619</v>
      </c>
      <c r="B8" s="13">
        <v>49</v>
      </c>
    </row>
    <row r="9" spans="1:2" x14ac:dyDescent="0.3">
      <c r="A9" s="9" t="s">
        <v>1620</v>
      </c>
      <c r="B9" s="13">
        <v>54</v>
      </c>
    </row>
    <row r="10" spans="1:2" x14ac:dyDescent="0.3">
      <c r="A10" s="9" t="s">
        <v>1621</v>
      </c>
      <c r="B10" s="13">
        <v>76</v>
      </c>
    </row>
    <row r="11" spans="1:2" x14ac:dyDescent="0.3">
      <c r="A11" s="9" t="s">
        <v>1622</v>
      </c>
      <c r="B11" s="13">
        <v>44</v>
      </c>
    </row>
    <row r="12" spans="1:2" x14ac:dyDescent="0.3">
      <c r="A12" s="9" t="s">
        <v>1623</v>
      </c>
      <c r="B12" s="13">
        <v>75</v>
      </c>
    </row>
    <row r="13" spans="1:2" x14ac:dyDescent="0.3">
      <c r="A13" s="9" t="s">
        <v>1588</v>
      </c>
      <c r="B13" s="13">
        <v>502</v>
      </c>
    </row>
  </sheetData>
  <pageMargins left="0.7" right="0.7" top="0.75" bottom="0.75" header="0.3" footer="0.3"/>
  <pageSetup orientation="portrait" r:id="rId2"/>
  <drawing r:id="rId3"/>
  <extLs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C22C6-6448-4047-BCF9-D04BD5E17DCF}">
  <dimension ref="A3:B13"/>
  <sheetViews>
    <sheetView workbookViewId="0">
      <selection activeCell="B9" sqref="B9"/>
    </sheetView>
  </sheetViews>
  <sheetFormatPr defaultRowHeight="14.4" x14ac:dyDescent="0.3"/>
  <cols>
    <col min="1" max="1" width="12.44140625" bestFit="1" customWidth="1"/>
    <col min="2" max="2" width="21.33203125" bestFit="1" customWidth="1"/>
  </cols>
  <sheetData>
    <row r="3" spans="1:2" x14ac:dyDescent="0.3">
      <c r="A3" s="8" t="s">
        <v>1587</v>
      </c>
      <c r="B3" t="s">
        <v>1600</v>
      </c>
    </row>
    <row r="4" spans="1:2" x14ac:dyDescent="0.3">
      <c r="A4" s="9" t="s">
        <v>40</v>
      </c>
      <c r="B4" s="13">
        <v>76</v>
      </c>
    </row>
    <row r="5" spans="1:2" x14ac:dyDescent="0.3">
      <c r="A5" s="9" t="s">
        <v>72</v>
      </c>
      <c r="B5" s="13">
        <v>13</v>
      </c>
    </row>
    <row r="6" spans="1:2" x14ac:dyDescent="0.3">
      <c r="A6" s="9" t="s">
        <v>33</v>
      </c>
      <c r="B6" s="13">
        <v>67</v>
      </c>
    </row>
    <row r="7" spans="1:2" x14ac:dyDescent="0.3">
      <c r="A7" s="9" t="s">
        <v>46</v>
      </c>
      <c r="B7" s="13">
        <v>65</v>
      </c>
    </row>
    <row r="8" spans="1:2" x14ac:dyDescent="0.3">
      <c r="A8" s="9" t="s">
        <v>27</v>
      </c>
      <c r="B8" s="13">
        <v>14</v>
      </c>
    </row>
    <row r="9" spans="1:2" x14ac:dyDescent="0.3">
      <c r="A9" s="9" t="s">
        <v>173</v>
      </c>
      <c r="B9" s="13">
        <v>18</v>
      </c>
    </row>
    <row r="10" spans="1:2" x14ac:dyDescent="0.3">
      <c r="A10" s="9" t="s">
        <v>139</v>
      </c>
      <c r="B10" s="13">
        <v>31</v>
      </c>
    </row>
    <row r="11" spans="1:2" x14ac:dyDescent="0.3">
      <c r="A11" s="9" t="s">
        <v>59</v>
      </c>
      <c r="B11" s="13">
        <v>154</v>
      </c>
    </row>
    <row r="12" spans="1:2" x14ac:dyDescent="0.3">
      <c r="A12" s="9" t="s">
        <v>85</v>
      </c>
      <c r="B12" s="13">
        <v>64</v>
      </c>
    </row>
    <row r="13" spans="1:2" x14ac:dyDescent="0.3">
      <c r="A13" s="9" t="s">
        <v>1588</v>
      </c>
      <c r="B13" s="13">
        <v>502</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26E-88C2-4371-A857-1EEFB659B719}">
  <dimension ref="A1:B48"/>
  <sheetViews>
    <sheetView topLeftCell="A23" workbookViewId="0"/>
  </sheetViews>
  <sheetFormatPr defaultRowHeight="14.4" x14ac:dyDescent="0.3"/>
  <cols>
    <col min="1" max="1" width="20.6640625" bestFit="1" customWidth="1"/>
    <col min="2" max="2" width="20.5546875" bestFit="1" customWidth="1"/>
  </cols>
  <sheetData>
    <row r="1" spans="1:2" ht="15" thickBot="1" x14ac:dyDescent="0.35">
      <c r="A1" s="10" t="s">
        <v>1613</v>
      </c>
      <c r="B1" s="10" t="s">
        <v>1612</v>
      </c>
    </row>
    <row r="2" spans="1:2" ht="15" thickBot="1" x14ac:dyDescent="0.35">
      <c r="A2" s="11" t="s">
        <v>866</v>
      </c>
      <c r="B2" s="11" t="s">
        <v>1601</v>
      </c>
    </row>
    <row r="3" spans="1:2" ht="15" thickBot="1" x14ac:dyDescent="0.35">
      <c r="A3" s="11" t="s">
        <v>705</v>
      </c>
      <c r="B3" s="11" t="s">
        <v>1601</v>
      </c>
    </row>
    <row r="4" spans="1:2" ht="15" thickBot="1" x14ac:dyDescent="0.35">
      <c r="A4" s="11" t="s">
        <v>527</v>
      </c>
      <c r="B4" s="11" t="s">
        <v>1601</v>
      </c>
    </row>
    <row r="5" spans="1:2" ht="15" thickBot="1" x14ac:dyDescent="0.35">
      <c r="A5" s="11" t="s">
        <v>1467</v>
      </c>
      <c r="B5" s="11" t="s">
        <v>1601</v>
      </c>
    </row>
    <row r="6" spans="1:2" ht="15" thickBot="1" x14ac:dyDescent="0.35">
      <c r="A6" s="11" t="s">
        <v>741</v>
      </c>
      <c r="B6" s="11" t="s">
        <v>1601</v>
      </c>
    </row>
    <row r="7" spans="1:2" ht="15" thickBot="1" x14ac:dyDescent="0.35">
      <c r="A7" s="11" t="s">
        <v>1450</v>
      </c>
      <c r="B7" s="11" t="s">
        <v>1601</v>
      </c>
    </row>
    <row r="8" spans="1:2" ht="15" thickBot="1" x14ac:dyDescent="0.35">
      <c r="A8" s="11" t="s">
        <v>207</v>
      </c>
      <c r="B8" s="11" t="s">
        <v>1602</v>
      </c>
    </row>
    <row r="9" spans="1:2" ht="15" thickBot="1" x14ac:dyDescent="0.35">
      <c r="A9" s="11" t="s">
        <v>1603</v>
      </c>
      <c r="B9" s="11" t="s">
        <v>1602</v>
      </c>
    </row>
    <row r="10" spans="1:2" ht="15" thickBot="1" x14ac:dyDescent="0.35">
      <c r="A10" s="11" t="s">
        <v>796</v>
      </c>
      <c r="B10" s="11" t="s">
        <v>1602</v>
      </c>
    </row>
    <row r="11" spans="1:2" ht="15" thickBot="1" x14ac:dyDescent="0.35">
      <c r="A11" s="11" t="s">
        <v>803</v>
      </c>
      <c r="B11" s="11" t="s">
        <v>1604</v>
      </c>
    </row>
    <row r="12" spans="1:2" ht="15" thickBot="1" x14ac:dyDescent="0.35">
      <c r="A12" s="11" t="s">
        <v>260</v>
      </c>
      <c r="B12" s="11" t="s">
        <v>1604</v>
      </c>
    </row>
    <row r="13" spans="1:2" ht="15" thickBot="1" x14ac:dyDescent="0.35">
      <c r="A13" s="11" t="s">
        <v>808</v>
      </c>
      <c r="B13" s="11" t="s">
        <v>1604</v>
      </c>
    </row>
    <row r="14" spans="1:2" ht="15" thickBot="1" x14ac:dyDescent="0.35">
      <c r="A14" s="11" t="s">
        <v>1605</v>
      </c>
      <c r="B14" s="11" t="s">
        <v>1604</v>
      </c>
    </row>
    <row r="15" spans="1:2" ht="15" thickBot="1" x14ac:dyDescent="0.35">
      <c r="A15" s="11" t="s">
        <v>176</v>
      </c>
      <c r="B15" s="11" t="s">
        <v>1604</v>
      </c>
    </row>
    <row r="16" spans="1:2" ht="15" thickBot="1" x14ac:dyDescent="0.35">
      <c r="A16" s="11" t="s">
        <v>673</v>
      </c>
      <c r="B16" s="11" t="s">
        <v>1604</v>
      </c>
    </row>
    <row r="17" spans="1:2" ht="15" thickBot="1" x14ac:dyDescent="0.35">
      <c r="A17" s="11" t="s">
        <v>747</v>
      </c>
      <c r="B17" s="11" t="s">
        <v>1604</v>
      </c>
    </row>
    <row r="18" spans="1:2" ht="15" thickBot="1" x14ac:dyDescent="0.35">
      <c r="A18" s="11" t="s">
        <v>780</v>
      </c>
      <c r="B18" s="11" t="s">
        <v>1604</v>
      </c>
    </row>
    <row r="19" spans="1:2" ht="15" thickBot="1" x14ac:dyDescent="0.35">
      <c r="A19" s="11" t="s">
        <v>1356</v>
      </c>
      <c r="B19" s="11" t="s">
        <v>1606</v>
      </c>
    </row>
    <row r="20" spans="1:2" ht="15" thickBot="1" x14ac:dyDescent="0.35">
      <c r="A20" s="11" t="s">
        <v>1379</v>
      </c>
      <c r="B20" s="11" t="s">
        <v>1606</v>
      </c>
    </row>
    <row r="21" spans="1:2" ht="15" thickBot="1" x14ac:dyDescent="0.35">
      <c r="A21" s="11" t="s">
        <v>536</v>
      </c>
      <c r="B21" s="11" t="s">
        <v>1606</v>
      </c>
    </row>
    <row r="22" spans="1:2" ht="15" thickBot="1" x14ac:dyDescent="0.35">
      <c r="A22" s="11" t="s">
        <v>1607</v>
      </c>
      <c r="B22" s="11" t="s">
        <v>1606</v>
      </c>
    </row>
    <row r="23" spans="1:2" ht="15" thickBot="1" x14ac:dyDescent="0.35">
      <c r="A23" s="11" t="s">
        <v>408</v>
      </c>
      <c r="B23" s="11" t="s">
        <v>1606</v>
      </c>
    </row>
    <row r="24" spans="1:2" ht="15" thickBot="1" x14ac:dyDescent="0.35">
      <c r="A24" s="11" t="s">
        <v>1509</v>
      </c>
      <c r="B24" s="11" t="s">
        <v>1608</v>
      </c>
    </row>
    <row r="25" spans="1:2" ht="15" thickBot="1" x14ac:dyDescent="0.35">
      <c r="A25" s="11" t="s">
        <v>1568</v>
      </c>
      <c r="B25" s="11" t="s">
        <v>1608</v>
      </c>
    </row>
    <row r="26" spans="1:2" ht="15" thickBot="1" x14ac:dyDescent="0.35">
      <c r="A26" s="11" t="s">
        <v>1609</v>
      </c>
      <c r="B26" s="11" t="s">
        <v>1608</v>
      </c>
    </row>
    <row r="27" spans="1:2" ht="15" thickBot="1" x14ac:dyDescent="0.35">
      <c r="A27" s="11" t="s">
        <v>1478</v>
      </c>
      <c r="B27" s="11" t="s">
        <v>1608</v>
      </c>
    </row>
    <row r="28" spans="1:2" ht="15" thickBot="1" x14ac:dyDescent="0.35">
      <c r="A28" s="11" t="s">
        <v>1513</v>
      </c>
      <c r="B28" s="11" t="s">
        <v>1608</v>
      </c>
    </row>
    <row r="29" spans="1:2" ht="15" thickBot="1" x14ac:dyDescent="0.35">
      <c r="A29" s="11" t="s">
        <v>151</v>
      </c>
      <c r="B29" s="11" t="s">
        <v>1608</v>
      </c>
    </row>
    <row r="30" spans="1:2" ht="15" thickBot="1" x14ac:dyDescent="0.35">
      <c r="A30" s="11" t="s">
        <v>1314</v>
      </c>
      <c r="B30" s="11" t="s">
        <v>1608</v>
      </c>
    </row>
    <row r="31" spans="1:2" ht="15" thickBot="1" x14ac:dyDescent="0.35">
      <c r="A31" s="11" t="s">
        <v>50</v>
      </c>
      <c r="B31" s="11" t="s">
        <v>1608</v>
      </c>
    </row>
    <row r="32" spans="1:2" ht="15" thickBot="1" x14ac:dyDescent="0.35">
      <c r="A32" s="11" t="s">
        <v>719</v>
      </c>
      <c r="B32" s="11" t="s">
        <v>1608</v>
      </c>
    </row>
    <row r="33" spans="1:2" ht="15" thickBot="1" x14ac:dyDescent="0.35">
      <c r="A33" s="11" t="s">
        <v>1170</v>
      </c>
      <c r="B33" s="11" t="s">
        <v>1608</v>
      </c>
    </row>
    <row r="34" spans="1:2" ht="15" thickBot="1" x14ac:dyDescent="0.35">
      <c r="A34" s="11" t="s">
        <v>1342</v>
      </c>
      <c r="B34" s="11" t="s">
        <v>1608</v>
      </c>
    </row>
    <row r="35" spans="1:2" ht="15" thickBot="1" x14ac:dyDescent="0.35">
      <c r="A35" s="11" t="s">
        <v>276</v>
      </c>
      <c r="B35" s="11" t="s">
        <v>1608</v>
      </c>
    </row>
    <row r="36" spans="1:2" ht="15" thickBot="1" x14ac:dyDescent="0.35">
      <c r="A36" s="11" t="s">
        <v>370</v>
      </c>
      <c r="B36" s="11" t="s">
        <v>1608</v>
      </c>
    </row>
    <row r="37" spans="1:2" ht="15" thickBot="1" x14ac:dyDescent="0.35">
      <c r="A37" s="11" t="s">
        <v>56</v>
      </c>
      <c r="B37" s="11" t="s">
        <v>1608</v>
      </c>
    </row>
    <row r="38" spans="1:2" ht="15" thickBot="1" x14ac:dyDescent="0.35">
      <c r="A38" s="11" t="s">
        <v>313</v>
      </c>
      <c r="B38" s="11" t="s">
        <v>1610</v>
      </c>
    </row>
    <row r="39" spans="1:2" ht="15" thickBot="1" x14ac:dyDescent="0.35">
      <c r="A39" s="11" t="s">
        <v>1557</v>
      </c>
      <c r="B39" s="11" t="s">
        <v>1610</v>
      </c>
    </row>
    <row r="40" spans="1:2" ht="15" thickBot="1" x14ac:dyDescent="0.35">
      <c r="A40" s="11" t="s">
        <v>97</v>
      </c>
      <c r="B40" s="11" t="s">
        <v>1610</v>
      </c>
    </row>
    <row r="41" spans="1:2" ht="15" thickBot="1" x14ac:dyDescent="0.35">
      <c r="A41" s="11" t="s">
        <v>125</v>
      </c>
      <c r="B41" s="11" t="s">
        <v>1610</v>
      </c>
    </row>
    <row r="42" spans="1:2" ht="15" thickBot="1" x14ac:dyDescent="0.35">
      <c r="A42" s="11" t="s">
        <v>1420</v>
      </c>
      <c r="B42" s="11" t="s">
        <v>1611</v>
      </c>
    </row>
    <row r="43" spans="1:2" ht="15" thickBot="1" x14ac:dyDescent="0.35">
      <c r="A43" s="11" t="s">
        <v>628</v>
      </c>
      <c r="B43" s="11" t="s">
        <v>1611</v>
      </c>
    </row>
    <row r="44" spans="1:2" ht="15" thickBot="1" x14ac:dyDescent="0.35">
      <c r="A44" s="11" t="s">
        <v>212</v>
      </c>
      <c r="B44" s="11" t="s">
        <v>1611</v>
      </c>
    </row>
    <row r="45" spans="1:2" ht="15" thickBot="1" x14ac:dyDescent="0.35">
      <c r="A45" s="11" t="s">
        <v>846</v>
      </c>
      <c r="B45" s="11" t="s">
        <v>1611</v>
      </c>
    </row>
    <row r="46" spans="1:2" ht="15" thickBot="1" x14ac:dyDescent="0.35">
      <c r="A46" s="11" t="s">
        <v>583</v>
      </c>
      <c r="B46" s="11" t="s">
        <v>1611</v>
      </c>
    </row>
    <row r="47" spans="1:2" ht="15" thickBot="1" x14ac:dyDescent="0.35">
      <c r="A47" s="11" t="s">
        <v>1346</v>
      </c>
      <c r="B47" s="11" t="s">
        <v>1611</v>
      </c>
    </row>
    <row r="48" spans="1:2" ht="15" thickBot="1" x14ac:dyDescent="0.35">
      <c r="A48" s="11" t="s">
        <v>948</v>
      </c>
      <c r="B48" s="11" t="s">
        <v>948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F033AA-34F3-41E9-AB3E-9F319E3974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Original data</vt:lpstr>
      <vt:lpstr>victims by age &amp; type of femici</vt:lpstr>
      <vt:lpstr>number of victims by scene</vt:lpstr>
      <vt:lpstr>victims by circumstances</vt:lpstr>
      <vt:lpstr>victims by type_relationship</vt:lpstr>
      <vt:lpstr>femicide victims by region</vt:lpstr>
      <vt:lpstr>verdict</vt:lpstr>
      <vt:lpstr>total number of cases by publis</vt:lpstr>
      <vt:lpstr>victims by mode of killing </vt:lpstr>
      <vt:lpstr>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NELLY MOGERE</dc:creator>
  <cp:lastModifiedBy>NELLY MOGERE</cp:lastModifiedBy>
  <cp:lastPrinted>2026-07-03T22:43:37Z</cp:lastPrinted>
  <dcterms:created xsi:type="dcterms:W3CDTF">2026-06-21T11:01:23Z</dcterms:created>
  <dcterms:modified xsi:type="dcterms:W3CDTF">2026-07-03T22:49:26Z</dcterms:modified>
</cp:coreProperties>
</file>